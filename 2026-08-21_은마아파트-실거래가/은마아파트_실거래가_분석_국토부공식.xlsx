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전체 거래내역" sheetId="2" r:id="rId2"/>
    <sheet name="월별 추이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0"/>
      <name val="Malgun Gothic"/>
    </font>
    <font>
      <b/>
      <sz val="10"/>
      <color rgb="FFFFFFFF"/>
      <name val="Malgun Gothic"/>
    </font>
    <font>
      <b/>
      <sz val="14"/>
      <color rgb="FF1F3864"/>
      <name val="Malgun Gothic"/>
    </font>
    <font>
      <sz val="9"/>
      <color rgb="FF808080"/>
      <name val="Malgun Gothic"/>
    </font>
    <font>
      <b/>
      <sz val="11"/>
      <color rgb="FF1F3864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0" fontId="3" fillId="0" borderId="0" xfId="0" applyFont="1"/>
    <xf numFmtId="164" fontId="0" fillId="0" borderId="1" xfId="0" applyNumberFormat="1" applyBorder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1" customWidth="1"/>
    <col min="3" max="6" width="17" customWidth="1"/>
  </cols>
  <sheetData>
    <row r="1">
      <c r="A1" s="4" t="inlineStr">
        <is>
          <t xml:space="preserve">대치동 은마아파트 실거래가 분석 (계약일 기준 2025-08-22 ~ 2026-08-21)</t>
        </is>
      </c>
    </row>
    <row r="2">
      <c r="A2" s="5" t="inlineStr">
        <is>
          <t xml:space="preserve">출처: 국토교통부 실거래가공개시스템 자료제공(rt.molit.go.kr) 다운로드 원본 | 추출일: 2026-08-21 | 원본 전체 내역은 "전체 거래내역" 시트</t>
        </is>
      </c>
    </row>
    <row r="4">
      <c r="A4" s="1" t="inlineStr">
        <is>
          <t xml:space="preserve">평형구분</t>
        </is>
      </c>
      <c r="B4" s="1" t="inlineStr">
        <is>
          <t xml:space="preserve">거래건수</t>
        </is>
      </c>
      <c r="C4" s="1" t="inlineStr">
        <is>
          <t xml:space="preserve">평균가(만원)</t>
        </is>
      </c>
      <c r="D4" s="1" t="inlineStr">
        <is>
          <t xml:space="preserve">최고가(만원)</t>
        </is>
      </c>
      <c r="E4" s="1" t="inlineStr">
        <is>
          <t xml:space="preserve">최저가(만원)</t>
        </is>
      </c>
      <c r="F4" s="1" t="inlineStr">
        <is>
          <t xml:space="preserve">평단가(3.3㎡당,만원)</t>
        </is>
      </c>
    </row>
    <row r="5">
      <c r="A5" s="2" t="inlineStr">
        <is>
          <t xml:space="preserve">33PY형 (전용 76.79㎡)</t>
        </is>
      </c>
      <c r="B5" s="2">
        <f>COUNTIFS('전체 거래내역'!C:C,76.79,'전체 거래내역'!G:G,"정상")</f>
      </c>
      <c r="C5" s="3">
        <f>ROUND(AVERAGEIFS('전체 거래내역'!F:F,'전체 거래내역'!C:C,76.79,'전체 거래내역'!G:G,"정상"),0)</f>
      </c>
      <c r="D5" s="3">
        <f>MAXIFS('전체 거래내역'!F:F,'전체 거래내역'!C:C,76.79,'전체 거래내역'!G:G,"정상")</f>
      </c>
      <c r="E5" s="3">
        <f>MINIFS('전체 거래내역'!F:F,'전체 거래내역'!C:C,76.79,'전체 거래내역'!G:G,"정상")</f>
      </c>
      <c r="F5" s="3">
        <f>ROUND(C5/(76.79/3.3),0)</f>
      </c>
    </row>
    <row r="6">
      <c r="A6" s="2" t="inlineStr">
        <is>
          <t xml:space="preserve">37PY형 (전용 84.43㎡)</t>
        </is>
      </c>
      <c r="B6" s="2">
        <f>COUNTIFS('전체 거래내역'!C:C,84.43,'전체 거래내역'!G:G,"정상")</f>
      </c>
      <c r="C6" s="3">
        <f>ROUND(AVERAGEIFS('전체 거래내역'!F:F,'전체 거래내역'!C:C,84.43,'전체 거래내역'!G:G,"정상"),0)</f>
      </c>
      <c r="D6" s="3">
        <f>MAXIFS('전체 거래내역'!F:F,'전체 거래내역'!C:C,84.43,'전체 거래내역'!G:G,"정상")</f>
      </c>
      <c r="E6" s="3">
        <f>MINIFS('전체 거래내역'!F:F,'전체 거래내역'!C:C,84.43,'전체 거래내역'!G:G,"정상")</f>
      </c>
      <c r="F6" s="3">
        <f>ROUND(C6/(84.43/3.3),0)</f>
      </c>
    </row>
    <row r="8">
      <c r="A8" s="7" t="inlineStr">
        <is>
          <t xml:space="preserve">반기별 평균가 변화</t>
        </is>
      </c>
    </row>
    <row r="9">
      <c r="A9" s="1" t="inlineStr">
        <is>
          <t xml:space="preserve">평형구분</t>
        </is>
      </c>
      <c r="B9" s="1" t="inlineStr">
        <is>
          <t xml:space="preserve">2025.9~12월 평균(만원)</t>
        </is>
      </c>
      <c r="C9" s="1" t="inlineStr">
        <is>
          <t xml:space="preserve">2026.3~8월 평균(만원)</t>
        </is>
      </c>
      <c r="D9" s="1" t="inlineStr">
        <is>
          <t xml:space="preserve">변화율</t>
        </is>
      </c>
    </row>
    <row r="10">
      <c r="A10" s="2" t="inlineStr">
        <is>
          <t xml:space="preserve">33PY형 (전용 76.79㎡)</t>
        </is>
      </c>
      <c r="B10" s="3">
        <f>ROUND(AVERAGEIFS('전체 거래내역'!F:F,'전체 거래내역'!C:C,76.79,'전체 거래내역'!G:G,"정상",'전체 거래내역'!L:L,"&gt;=202509",'전체 거래내역'!L:L,"&lt;=202512"),0)</f>
      </c>
      <c r="C10" s="3">
        <f>ROUND(AVERAGEIFS('전체 거래내역'!F:F,'전체 거래내역'!C:C,76.79,'전체 거래내역'!G:G,"정상",'전체 거래내역'!L:L,"&gt;=202603",'전체 거래내역'!L:L,"&lt;=202608"),0)</f>
      </c>
      <c r="D10" s="6">
        <f>(C10-B10)/B10</f>
      </c>
    </row>
    <row r="11">
      <c r="A11" s="2" t="inlineStr">
        <is>
          <t xml:space="preserve">37PY형 (전용 84.43㎡)</t>
        </is>
      </c>
      <c r="B11" s="3">
        <f>ROUND(AVERAGEIFS('전체 거래내역'!F:F,'전체 거래내역'!C:C,84.43,'전체 거래내역'!G:G,"정상",'전체 거래내역'!L:L,"&gt;=202509",'전체 거래내역'!L:L,"&lt;=202512"),0)</f>
      </c>
      <c r="C11" s="3">
        <f>ROUND(AVERAGEIFS('전체 거래내역'!F:F,'전체 거래내역'!C:C,84.43,'전체 거래내역'!G:G,"정상",'전체 거래내역'!L:L,"&gt;=202603",'전체 거래내역'!L:L,"&lt;=202608"),0)</f>
      </c>
      <c r="D11" s="6">
        <f>(C11-B11)/B11</f>
      </c>
    </row>
    <row r="13">
      <c r="A13" s="5" t="inlineStr">
        <is>
          <t xml:space="preserve">※ 계약 후 해제된 7건은 통계에서 제외. 본 자료는 계약일 기준이며 신고정보는 실시간 변경될 수 있음(국토교통부 공지).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12" customWidth="1"/>
    <col min="3" max="3" width="11" customWidth="1"/>
    <col min="4" max="4" width="10" customWidth="1"/>
    <col min="5" max="5" width="5" customWidth="1"/>
    <col min="6" max="6" width="13" customWidth="1"/>
    <col min="7" max="8" width="9" customWidth="1"/>
    <col min="9" max="10" width="15" customWidth="1"/>
    <col min="11" max="11" width="9" customWidth="1"/>
    <col min="12" max="12" width="13" customWidth="1"/>
  </cols>
  <sheetViews>
    <sheetView workbookViewId="0">
      <pane ySplit="1" topLeftCell="A2" activePane="bottomLeft" state="frozen"/>
    </sheetView>
  </sheetViews>
  <autoFilter ref="A1:L46"/>
  <sheetData>
    <row r="1">
      <c r="A1" s="1" t="inlineStr">
        <is>
          <t xml:space="preserve">No</t>
        </is>
      </c>
      <c r="B1" s="1" t="inlineStr">
        <is>
          <t xml:space="preserve">계약일</t>
        </is>
      </c>
      <c r="C1" s="1" t="inlineStr">
        <is>
          <t xml:space="preserve">전용면적(㎡)</t>
        </is>
      </c>
      <c r="D1" s="1" t="inlineStr">
        <is>
          <t xml:space="preserve">평형구분</t>
        </is>
      </c>
      <c r="E1" s="1" t="inlineStr">
        <is>
          <t xml:space="preserve">층</t>
        </is>
      </c>
      <c r="F1" s="1" t="inlineStr">
        <is>
          <t xml:space="preserve">거래금액(만원)</t>
        </is>
      </c>
      <c r="G1" s="1" t="inlineStr">
        <is>
          <t xml:space="preserve">해제여부</t>
        </is>
      </c>
      <c r="H1" s="1" t="inlineStr">
        <is>
          <t xml:space="preserve">거래유형</t>
        </is>
      </c>
      <c r="I1" s="1" t="inlineStr">
        <is>
          <t xml:space="preserve">지번</t>
        </is>
      </c>
      <c r="J1" s="1" t="inlineStr">
        <is>
          <t xml:space="preserve">도로명주소</t>
        </is>
      </c>
      <c r="K1" s="1" t="inlineStr">
        <is>
          <t xml:space="preserve">건축년도</t>
        </is>
      </c>
      <c r="L1" s="1" t="inlineStr">
        <is>
          <t xml:space="preserve">계약월(YYYYMM)</t>
        </is>
      </c>
    </row>
    <row r="2">
      <c r="A2" s="2">
        <v>1</v>
      </c>
      <c r="B2" s="2" t="inlineStr">
        <is>
          <t xml:space="preserve">2026-08-01</t>
        </is>
      </c>
      <c r="C2" s="2">
        <v>76.79</v>
      </c>
      <c r="D2" s="2" t="inlineStr">
        <is>
          <t xml:space="preserve">33PY형</t>
        </is>
      </c>
      <c r="E2" s="2">
        <v>3</v>
      </c>
      <c r="F2" s="3">
        <v>334000</v>
      </c>
      <c r="G2" s="2" t="inlineStr">
        <is>
          <t xml:space="preserve">정상</t>
        </is>
      </c>
      <c r="H2" s="2" t="inlineStr">
        <is>
          <t xml:space="preserve">중개거래</t>
        </is>
      </c>
      <c r="I2" s="2" t="inlineStr">
        <is>
          <t xml:space="preserve">대치동 316</t>
        </is>
      </c>
      <c r="J2" s="2" t="inlineStr">
        <is>
          <t xml:space="preserve">삼성로 212</t>
        </is>
      </c>
      <c r="K2" s="2">
        <v>1980</v>
      </c>
      <c r="L2" s="2">
        <v>202608</v>
      </c>
    </row>
    <row r="3">
      <c r="A3" s="2">
        <v>2</v>
      </c>
      <c r="B3" s="2" t="inlineStr">
        <is>
          <t xml:space="preserve">2026-07-20</t>
        </is>
      </c>
      <c r="C3" s="2">
        <v>84.43</v>
      </c>
      <c r="D3" s="2" t="inlineStr">
        <is>
          <t xml:space="preserve">37PY형</t>
        </is>
      </c>
      <c r="E3" s="2">
        <v>1</v>
      </c>
      <c r="F3" s="3">
        <v>369500</v>
      </c>
      <c r="G3" s="2" t="inlineStr">
        <is>
          <t xml:space="preserve">정상</t>
        </is>
      </c>
      <c r="H3" s="2" t="inlineStr">
        <is>
          <t xml:space="preserve">중개거래</t>
        </is>
      </c>
      <c r="I3" s="2" t="inlineStr">
        <is>
          <t xml:space="preserve">대치동 316</t>
        </is>
      </c>
      <c r="J3" s="2" t="inlineStr">
        <is>
          <t xml:space="preserve">삼성로 212</t>
        </is>
      </c>
      <c r="K3" s="2">
        <v>1980</v>
      </c>
      <c r="L3" s="2">
        <v>202607</v>
      </c>
    </row>
    <row r="4">
      <c r="A4" s="2">
        <v>3</v>
      </c>
      <c r="B4" s="2" t="inlineStr">
        <is>
          <t xml:space="preserve">2026-07-18</t>
        </is>
      </c>
      <c r="C4" s="2">
        <v>76.79</v>
      </c>
      <c r="D4" s="2" t="inlineStr">
        <is>
          <t xml:space="preserve">33PY형</t>
        </is>
      </c>
      <c r="E4" s="2">
        <v>9</v>
      </c>
      <c r="F4" s="3">
        <v>346000</v>
      </c>
      <c r="G4" s="2" t="inlineStr">
        <is>
          <t xml:space="preserve">정상</t>
        </is>
      </c>
      <c r="H4" s="2" t="inlineStr">
        <is>
          <t xml:space="preserve">중개거래</t>
        </is>
      </c>
      <c r="I4" s="2" t="inlineStr">
        <is>
          <t xml:space="preserve">대치동 316</t>
        </is>
      </c>
      <c r="J4" s="2" t="inlineStr">
        <is>
          <t xml:space="preserve">삼성로 212</t>
        </is>
      </c>
      <c r="K4" s="2">
        <v>1980</v>
      </c>
      <c r="L4" s="2">
        <v>202607</v>
      </c>
    </row>
    <row r="5">
      <c r="A5" s="2">
        <v>4</v>
      </c>
      <c r="B5" s="2" t="inlineStr">
        <is>
          <t xml:space="preserve">2026-07-15</t>
        </is>
      </c>
      <c r="C5" s="2">
        <v>76.79</v>
      </c>
      <c r="D5" s="2" t="inlineStr">
        <is>
          <t xml:space="preserve">33PY형</t>
        </is>
      </c>
      <c r="E5" s="2">
        <v>1</v>
      </c>
      <c r="F5" s="3">
        <v>326000</v>
      </c>
      <c r="G5" s="2" t="inlineStr">
        <is>
          <t xml:space="preserve">정상</t>
        </is>
      </c>
      <c r="H5" s="2" t="inlineStr">
        <is>
          <t xml:space="preserve">중개거래</t>
        </is>
      </c>
      <c r="I5" s="2" t="inlineStr">
        <is>
          <t xml:space="preserve">대치동 316</t>
        </is>
      </c>
      <c r="J5" s="2" t="inlineStr">
        <is>
          <t xml:space="preserve">삼성로 212</t>
        </is>
      </c>
      <c r="K5" s="2">
        <v>1979</v>
      </c>
      <c r="L5" s="2">
        <v>202607</v>
      </c>
    </row>
    <row r="6">
      <c r="A6" s="2">
        <v>5</v>
      </c>
      <c r="B6" s="2" t="inlineStr">
        <is>
          <t xml:space="preserve">2026-07-07</t>
        </is>
      </c>
      <c r="C6" s="2">
        <v>84.43</v>
      </c>
      <c r="D6" s="2" t="inlineStr">
        <is>
          <t xml:space="preserve">37PY형</t>
        </is>
      </c>
      <c r="E6" s="2">
        <v>8</v>
      </c>
      <c r="F6" s="3">
        <v>390000</v>
      </c>
      <c r="G6" s="2" t="inlineStr">
        <is>
          <t xml:space="preserve">정상</t>
        </is>
      </c>
      <c r="H6" s="2" t="inlineStr">
        <is>
          <t xml:space="preserve">중개거래</t>
        </is>
      </c>
      <c r="I6" s="2" t="inlineStr">
        <is>
          <t xml:space="preserve">대치동 316</t>
        </is>
      </c>
      <c r="J6" s="2" t="inlineStr">
        <is>
          <t xml:space="preserve">삼성로 212</t>
        </is>
      </c>
      <c r="K6" s="2">
        <v>1979</v>
      </c>
      <c r="L6" s="2">
        <v>202607</v>
      </c>
    </row>
    <row r="7">
      <c r="A7" s="2">
        <v>6</v>
      </c>
      <c r="B7" s="2" t="inlineStr">
        <is>
          <t xml:space="preserve">2026-06-30</t>
        </is>
      </c>
      <c r="C7" s="2">
        <v>84.43</v>
      </c>
      <c r="D7" s="2" t="inlineStr">
        <is>
          <t xml:space="preserve">37PY형</t>
        </is>
      </c>
      <c r="E7" s="2">
        <v>9</v>
      </c>
      <c r="F7" s="3">
        <v>393000</v>
      </c>
      <c r="G7" s="2" t="inlineStr">
        <is>
          <t xml:space="preserve">정상</t>
        </is>
      </c>
      <c r="H7" s="2" t="inlineStr">
        <is>
          <t xml:space="preserve">중개거래</t>
        </is>
      </c>
      <c r="I7" s="2" t="inlineStr">
        <is>
          <t xml:space="preserve">대치동 316</t>
        </is>
      </c>
      <c r="J7" s="2" t="inlineStr">
        <is>
          <t xml:space="preserve">삼성로 212</t>
        </is>
      </c>
      <c r="K7" s="2">
        <v>1979</v>
      </c>
      <c r="L7" s="2">
        <v>202606</v>
      </c>
    </row>
    <row r="8">
      <c r="A8" s="2">
        <v>7</v>
      </c>
      <c r="B8" s="2" t="inlineStr">
        <is>
          <t xml:space="preserve">2026-06-23</t>
        </is>
      </c>
      <c r="C8" s="2">
        <v>76.79</v>
      </c>
      <c r="D8" s="2" t="inlineStr">
        <is>
          <t xml:space="preserve">33PY형</t>
        </is>
      </c>
      <c r="E8" s="2">
        <v>2</v>
      </c>
      <c r="F8" s="3">
        <v>337000</v>
      </c>
      <c r="G8" s="2" t="inlineStr">
        <is>
          <t xml:space="preserve">해제</t>
        </is>
      </c>
      <c r="H8" s="2" t="inlineStr">
        <is>
          <t xml:space="preserve">중개거래</t>
        </is>
      </c>
      <c r="I8" s="2" t="inlineStr">
        <is>
          <t xml:space="preserve">대치동 316</t>
        </is>
      </c>
      <c r="J8" s="2" t="inlineStr">
        <is>
          <t xml:space="preserve">삼성로 212</t>
        </is>
      </c>
      <c r="K8" s="2">
        <v>1979</v>
      </c>
      <c r="L8" s="2">
        <v>202606</v>
      </c>
    </row>
    <row r="9">
      <c r="A9" s="2">
        <v>8</v>
      </c>
      <c r="B9" s="2" t="inlineStr">
        <is>
          <t xml:space="preserve">2026-06-20</t>
        </is>
      </c>
      <c r="C9" s="2">
        <v>76.79</v>
      </c>
      <c r="D9" s="2" t="inlineStr">
        <is>
          <t xml:space="preserve">33PY형</t>
        </is>
      </c>
      <c r="E9" s="2">
        <v>13</v>
      </c>
      <c r="F9" s="3">
        <v>345000</v>
      </c>
      <c r="G9" s="2" t="inlineStr">
        <is>
          <t xml:space="preserve">정상</t>
        </is>
      </c>
      <c r="H9" s="2" t="inlineStr">
        <is>
          <t xml:space="preserve">중개거래</t>
        </is>
      </c>
      <c r="I9" s="2" t="inlineStr">
        <is>
          <t xml:space="preserve">대치동 316</t>
        </is>
      </c>
      <c r="J9" s="2" t="inlineStr">
        <is>
          <t xml:space="preserve">삼성로 212</t>
        </is>
      </c>
      <c r="K9" s="2">
        <v>1979</v>
      </c>
      <c r="L9" s="2">
        <v>202606</v>
      </c>
    </row>
    <row r="10">
      <c r="A10" s="2">
        <v>9</v>
      </c>
      <c r="B10" s="2" t="inlineStr">
        <is>
          <t xml:space="preserve">2026-06-12</t>
        </is>
      </c>
      <c r="C10" s="2">
        <v>76.79</v>
      </c>
      <c r="D10" s="2" t="inlineStr">
        <is>
          <t xml:space="preserve">33PY형</t>
        </is>
      </c>
      <c r="E10" s="2">
        <v>9</v>
      </c>
      <c r="F10" s="3">
        <v>348000</v>
      </c>
      <c r="G10" s="2" t="inlineStr">
        <is>
          <t xml:space="preserve">정상</t>
        </is>
      </c>
      <c r="H10" s="2" t="inlineStr">
        <is>
          <t xml:space="preserve">중개거래</t>
        </is>
      </c>
      <c r="I10" s="2" t="inlineStr">
        <is>
          <t xml:space="preserve">대치동 316</t>
        </is>
      </c>
      <c r="J10" s="2" t="inlineStr">
        <is>
          <t xml:space="preserve">삼성로 212</t>
        </is>
      </c>
      <c r="K10" s="2">
        <v>1979</v>
      </c>
      <c r="L10" s="2">
        <v>202606</v>
      </c>
    </row>
    <row r="11">
      <c r="A11" s="2">
        <v>10</v>
      </c>
      <c r="B11" s="2" t="inlineStr">
        <is>
          <t xml:space="preserve">2026-06-03</t>
        </is>
      </c>
      <c r="C11" s="2">
        <v>84.43</v>
      </c>
      <c r="D11" s="2" t="inlineStr">
        <is>
          <t xml:space="preserve">37PY형</t>
        </is>
      </c>
      <c r="E11" s="2">
        <v>3</v>
      </c>
      <c r="F11" s="3">
        <v>377000</v>
      </c>
      <c r="G11" s="2" t="inlineStr">
        <is>
          <t xml:space="preserve">정상</t>
        </is>
      </c>
      <c r="H11" s="2" t="inlineStr">
        <is>
          <t xml:space="preserve">중개거래</t>
        </is>
      </c>
      <c r="I11" s="2" t="inlineStr">
        <is>
          <t xml:space="preserve">대치동 316</t>
        </is>
      </c>
      <c r="J11" s="2" t="inlineStr">
        <is>
          <t xml:space="preserve">삼성로 212</t>
        </is>
      </c>
      <c r="K11" s="2">
        <v>1979</v>
      </c>
      <c r="L11" s="2">
        <v>202606</v>
      </c>
    </row>
    <row r="12">
      <c r="A12" s="2">
        <v>11</v>
      </c>
      <c r="B12" s="2" t="inlineStr">
        <is>
          <t xml:space="preserve">2026-05-30</t>
        </is>
      </c>
      <c r="C12" s="2">
        <v>84.43</v>
      </c>
      <c r="D12" s="2" t="inlineStr">
        <is>
          <t xml:space="preserve">37PY형</t>
        </is>
      </c>
      <c r="E12" s="2">
        <v>5</v>
      </c>
      <c r="F12" s="3">
        <v>387500</v>
      </c>
      <c r="G12" s="2" t="inlineStr">
        <is>
          <t xml:space="preserve">정상</t>
        </is>
      </c>
      <c r="H12" s="2" t="inlineStr">
        <is>
          <t xml:space="preserve">중개거래</t>
        </is>
      </c>
      <c r="I12" s="2" t="inlineStr">
        <is>
          <t xml:space="preserve">대치동 316</t>
        </is>
      </c>
      <c r="J12" s="2" t="inlineStr">
        <is>
          <t xml:space="preserve">삼성로 212</t>
        </is>
      </c>
      <c r="K12" s="2">
        <v>1980</v>
      </c>
      <c r="L12" s="2">
        <v>202605</v>
      </c>
    </row>
    <row r="13">
      <c r="A13" s="2">
        <v>12</v>
      </c>
      <c r="B13" s="2" t="inlineStr">
        <is>
          <t xml:space="preserve">2026-05-21</t>
        </is>
      </c>
      <c r="C13" s="2">
        <v>76.79</v>
      </c>
      <c r="D13" s="2" t="inlineStr">
        <is>
          <t xml:space="preserve">33PY형</t>
        </is>
      </c>
      <c r="E13" s="2">
        <v>13</v>
      </c>
      <c r="F13" s="3">
        <v>340000</v>
      </c>
      <c r="G13" s="2" t="inlineStr">
        <is>
          <t xml:space="preserve">정상</t>
        </is>
      </c>
      <c r="H13" s="2" t="inlineStr">
        <is>
          <t xml:space="preserve">중개거래</t>
        </is>
      </c>
      <c r="I13" s="2" t="inlineStr">
        <is>
          <t xml:space="preserve">대치동 316</t>
        </is>
      </c>
      <c r="J13" s="2" t="inlineStr">
        <is>
          <t xml:space="preserve">삼성로 212</t>
        </is>
      </c>
      <c r="K13" s="2">
        <v>1980</v>
      </c>
      <c r="L13" s="2">
        <v>202605</v>
      </c>
    </row>
    <row r="14">
      <c r="A14" s="2">
        <v>13</v>
      </c>
      <c r="B14" s="2" t="inlineStr">
        <is>
          <t xml:space="preserve">2026-05-07</t>
        </is>
      </c>
      <c r="C14" s="2">
        <v>84.43</v>
      </c>
      <c r="D14" s="2" t="inlineStr">
        <is>
          <t xml:space="preserve">37PY형</t>
        </is>
      </c>
      <c r="E14" s="2">
        <v>10</v>
      </c>
      <c r="F14" s="3">
        <v>389000</v>
      </c>
      <c r="G14" s="2" t="inlineStr">
        <is>
          <t xml:space="preserve">정상</t>
        </is>
      </c>
      <c r="H14" s="2" t="inlineStr">
        <is>
          <t xml:space="preserve">중개거래</t>
        </is>
      </c>
      <c r="I14" s="2" t="inlineStr">
        <is>
          <t xml:space="preserve">대치동 316</t>
        </is>
      </c>
      <c r="J14" s="2" t="inlineStr">
        <is>
          <t xml:space="preserve">삼성로 212</t>
        </is>
      </c>
      <c r="K14" s="2">
        <v>1979</v>
      </c>
      <c r="L14" s="2">
        <v>202605</v>
      </c>
    </row>
    <row r="15">
      <c r="A15" s="2">
        <v>14</v>
      </c>
      <c r="B15" s="2" t="inlineStr">
        <is>
          <t xml:space="preserve">2026-04-30</t>
        </is>
      </c>
      <c r="C15" s="2">
        <v>84.43</v>
      </c>
      <c r="D15" s="2" t="inlineStr">
        <is>
          <t xml:space="preserve">37PY형</t>
        </is>
      </c>
      <c r="E15" s="2">
        <v>12</v>
      </c>
      <c r="F15" s="3">
        <v>400000</v>
      </c>
      <c r="G15" s="2" t="inlineStr">
        <is>
          <t xml:space="preserve">정상</t>
        </is>
      </c>
      <c r="H15" s="2" t="inlineStr">
        <is>
          <t xml:space="preserve">중개거래</t>
        </is>
      </c>
      <c r="I15" s="2" t="inlineStr">
        <is>
          <t xml:space="preserve">대치동 316</t>
        </is>
      </c>
      <c r="J15" s="2" t="inlineStr">
        <is>
          <t xml:space="preserve">삼성로 212</t>
        </is>
      </c>
      <c r="K15" s="2">
        <v>1980</v>
      </c>
      <c r="L15" s="2">
        <v>202604</v>
      </c>
    </row>
    <row r="16">
      <c r="A16" s="2">
        <v>15</v>
      </c>
      <c r="B16" s="2" t="inlineStr">
        <is>
          <t xml:space="preserve">2026-04-21</t>
        </is>
      </c>
      <c r="C16" s="2">
        <v>84.43</v>
      </c>
      <c r="D16" s="2" t="inlineStr">
        <is>
          <t xml:space="preserve">37PY형</t>
        </is>
      </c>
      <c r="E16" s="2">
        <v>13</v>
      </c>
      <c r="F16" s="3">
        <v>381000</v>
      </c>
      <c r="G16" s="2" t="inlineStr">
        <is>
          <t xml:space="preserve">정상</t>
        </is>
      </c>
      <c r="H16" s="2" t="inlineStr">
        <is>
          <t xml:space="preserve">중개거래</t>
        </is>
      </c>
      <c r="I16" s="2" t="inlineStr">
        <is>
          <t xml:space="preserve">대치동 316</t>
        </is>
      </c>
      <c r="J16" s="2" t="inlineStr">
        <is>
          <t xml:space="preserve">삼성로 212</t>
        </is>
      </c>
      <c r="K16" s="2">
        <v>1979</v>
      </c>
      <c r="L16" s="2">
        <v>202604</v>
      </c>
    </row>
    <row r="17">
      <c r="A17" s="2">
        <v>16</v>
      </c>
      <c r="B17" s="2" t="inlineStr">
        <is>
          <t xml:space="preserve">2026-04-11</t>
        </is>
      </c>
      <c r="C17" s="2">
        <v>84.43</v>
      </c>
      <c r="D17" s="2" t="inlineStr">
        <is>
          <t xml:space="preserve">37PY형</t>
        </is>
      </c>
      <c r="E17" s="2">
        <v>2</v>
      </c>
      <c r="F17" s="3">
        <v>373000</v>
      </c>
      <c r="G17" s="2" t="inlineStr">
        <is>
          <t xml:space="preserve">정상</t>
        </is>
      </c>
      <c r="H17" s="2" t="inlineStr">
        <is>
          <t xml:space="preserve">중개거래</t>
        </is>
      </c>
      <c r="I17" s="2" t="inlineStr">
        <is>
          <t xml:space="preserve">대치동 316</t>
        </is>
      </c>
      <c r="J17" s="2" t="inlineStr">
        <is>
          <t xml:space="preserve">삼성로 212</t>
        </is>
      </c>
      <c r="K17" s="2">
        <v>1979</v>
      </c>
      <c r="L17" s="2">
        <v>202604</v>
      </c>
    </row>
    <row r="18">
      <c r="A18" s="2">
        <v>17</v>
      </c>
      <c r="B18" s="2" t="inlineStr">
        <is>
          <t xml:space="preserve">2026-03-27</t>
        </is>
      </c>
      <c r="C18" s="2">
        <v>76.79</v>
      </c>
      <c r="D18" s="2" t="inlineStr">
        <is>
          <t xml:space="preserve">33PY형</t>
        </is>
      </c>
      <c r="E18" s="2">
        <v>12</v>
      </c>
      <c r="F18" s="3">
        <v>347000</v>
      </c>
      <c r="G18" s="2" t="inlineStr">
        <is>
          <t xml:space="preserve">정상</t>
        </is>
      </c>
      <c r="H18" s="2" t="inlineStr">
        <is>
          <t xml:space="preserve">중개거래</t>
        </is>
      </c>
      <c r="I18" s="2" t="inlineStr">
        <is>
          <t xml:space="preserve">대치동 316</t>
        </is>
      </c>
      <c r="J18" s="2" t="inlineStr">
        <is>
          <t xml:space="preserve">삼성로 212</t>
        </is>
      </c>
      <c r="K18" s="2">
        <v>1979</v>
      </c>
      <c r="L18" s="2">
        <v>202603</v>
      </c>
    </row>
    <row r="19">
      <c r="A19" s="2">
        <v>18</v>
      </c>
      <c r="B19" s="2" t="inlineStr">
        <is>
          <t xml:space="preserve">2026-03-27</t>
        </is>
      </c>
      <c r="C19" s="2">
        <v>76.79</v>
      </c>
      <c r="D19" s="2" t="inlineStr">
        <is>
          <t xml:space="preserve">33PY형</t>
        </is>
      </c>
      <c r="E19" s="2">
        <v>12</v>
      </c>
      <c r="F19" s="3">
        <v>347000</v>
      </c>
      <c r="G19" s="2" t="inlineStr">
        <is>
          <t xml:space="preserve">해제</t>
        </is>
      </c>
      <c r="H19" s="2" t="inlineStr">
        <is>
          <t xml:space="preserve">중개거래</t>
        </is>
      </c>
      <c r="I19" s="2" t="inlineStr">
        <is>
          <t xml:space="preserve">대치동 316</t>
        </is>
      </c>
      <c r="J19" s="2" t="inlineStr">
        <is>
          <t xml:space="preserve">삼성로 212</t>
        </is>
      </c>
      <c r="K19" s="2">
        <v>1979</v>
      </c>
      <c r="L19" s="2">
        <v>202603</v>
      </c>
    </row>
    <row r="20">
      <c r="A20" s="2">
        <v>19</v>
      </c>
      <c r="B20" s="2" t="inlineStr">
        <is>
          <t xml:space="preserve">2026-03-21</t>
        </is>
      </c>
      <c r="C20" s="2">
        <v>76.79</v>
      </c>
      <c r="D20" s="2" t="inlineStr">
        <is>
          <t xml:space="preserve">33PY형</t>
        </is>
      </c>
      <c r="E20" s="2">
        <v>1</v>
      </c>
      <c r="F20" s="3">
        <v>335000</v>
      </c>
      <c r="G20" s="2" t="inlineStr">
        <is>
          <t xml:space="preserve">정상</t>
        </is>
      </c>
      <c r="H20" s="2" t="inlineStr">
        <is>
          <t xml:space="preserve">중개거래</t>
        </is>
      </c>
      <c r="I20" s="2" t="inlineStr">
        <is>
          <t xml:space="preserve">대치동 316</t>
        </is>
      </c>
      <c r="J20" s="2" t="inlineStr">
        <is>
          <t xml:space="preserve">삼성로 212</t>
        </is>
      </c>
      <c r="K20" s="2">
        <v>1979</v>
      </c>
      <c r="L20" s="2">
        <v>202603</v>
      </c>
    </row>
    <row r="21">
      <c r="A21" s="2">
        <v>20</v>
      </c>
      <c r="B21" s="2" t="inlineStr">
        <is>
          <t xml:space="preserve">2026-03-07</t>
        </is>
      </c>
      <c r="C21" s="2">
        <v>76.79</v>
      </c>
      <c r="D21" s="2" t="inlineStr">
        <is>
          <t xml:space="preserve">33PY형</t>
        </is>
      </c>
      <c r="E21" s="2">
        <v>7</v>
      </c>
      <c r="F21" s="3">
        <v>360000</v>
      </c>
      <c r="G21" s="2" t="inlineStr">
        <is>
          <t xml:space="preserve">정상</t>
        </is>
      </c>
      <c r="H21" s="2" t="inlineStr">
        <is>
          <t xml:space="preserve">중개거래</t>
        </is>
      </c>
      <c r="I21" s="2" t="inlineStr">
        <is>
          <t xml:space="preserve">대치동 316</t>
        </is>
      </c>
      <c r="J21" s="2" t="inlineStr">
        <is>
          <t xml:space="preserve">삼성로 212</t>
        </is>
      </c>
      <c r="K21" s="2">
        <v>1979</v>
      </c>
      <c r="L21" s="2">
        <v>202603</v>
      </c>
    </row>
    <row r="22">
      <c r="A22" s="2">
        <v>21</v>
      </c>
      <c r="B22" s="2" t="inlineStr">
        <is>
          <t xml:space="preserve">2026-03-07</t>
        </is>
      </c>
      <c r="C22" s="2">
        <v>76.79</v>
      </c>
      <c r="D22" s="2" t="inlineStr">
        <is>
          <t xml:space="preserve">33PY형</t>
        </is>
      </c>
      <c r="E22" s="2">
        <v>8</v>
      </c>
      <c r="F22" s="3">
        <v>362500</v>
      </c>
      <c r="G22" s="2" t="inlineStr">
        <is>
          <t xml:space="preserve">정상</t>
        </is>
      </c>
      <c r="H22" s="2" t="inlineStr">
        <is>
          <t xml:space="preserve">중개거래</t>
        </is>
      </c>
      <c r="I22" s="2" t="inlineStr">
        <is>
          <t xml:space="preserve">대치동 316</t>
        </is>
      </c>
      <c r="J22" s="2" t="inlineStr">
        <is>
          <t xml:space="preserve">삼성로 212</t>
        </is>
      </c>
      <c r="K22" s="2">
        <v>1979</v>
      </c>
      <c r="L22" s="2">
        <v>202603</v>
      </c>
    </row>
    <row r="23">
      <c r="A23" s="2">
        <v>22</v>
      </c>
      <c r="B23" s="2" t="inlineStr">
        <is>
          <t xml:space="preserve">2026-02-26</t>
        </is>
      </c>
      <c r="C23" s="2">
        <v>76.79</v>
      </c>
      <c r="D23" s="2" t="inlineStr">
        <is>
          <t xml:space="preserve">33PY형</t>
        </is>
      </c>
      <c r="E23" s="2">
        <v>6</v>
      </c>
      <c r="F23" s="3">
        <v>360000</v>
      </c>
      <c r="G23" s="2" t="inlineStr">
        <is>
          <t xml:space="preserve">정상</t>
        </is>
      </c>
      <c r="H23" s="2" t="inlineStr">
        <is>
          <t xml:space="preserve">중개거래</t>
        </is>
      </c>
      <c r="I23" s="2" t="inlineStr">
        <is>
          <t xml:space="preserve">대치동 316</t>
        </is>
      </c>
      <c r="J23" s="2" t="inlineStr">
        <is>
          <t xml:space="preserve">삼성로 212</t>
        </is>
      </c>
      <c r="K23" s="2">
        <v>1979</v>
      </c>
      <c r="L23" s="2">
        <v>202602</v>
      </c>
    </row>
    <row r="24">
      <c r="A24" s="2">
        <v>23</v>
      </c>
      <c r="B24" s="2" t="inlineStr">
        <is>
          <t xml:space="preserve">2026-02-13</t>
        </is>
      </c>
      <c r="C24" s="2">
        <v>76.79</v>
      </c>
      <c r="D24" s="2" t="inlineStr">
        <is>
          <t xml:space="preserve">33PY형</t>
        </is>
      </c>
      <c r="E24" s="2">
        <v>7</v>
      </c>
      <c r="F24" s="3">
        <v>364000</v>
      </c>
      <c r="G24" s="2" t="inlineStr">
        <is>
          <t xml:space="preserve">정상</t>
        </is>
      </c>
      <c r="H24" s="2" t="inlineStr">
        <is>
          <t xml:space="preserve">중개거래</t>
        </is>
      </c>
      <c r="I24" s="2" t="inlineStr">
        <is>
          <t xml:space="preserve">대치동 316</t>
        </is>
      </c>
      <c r="J24" s="2" t="inlineStr">
        <is>
          <t xml:space="preserve">삼성로 212</t>
        </is>
      </c>
      <c r="K24" s="2">
        <v>1979</v>
      </c>
      <c r="L24" s="2">
        <v>202602</v>
      </c>
    </row>
    <row r="25">
      <c r="A25" s="2">
        <v>24</v>
      </c>
      <c r="B25" s="2" t="inlineStr">
        <is>
          <t xml:space="preserve">2026-01-07</t>
        </is>
      </c>
      <c r="C25" s="2">
        <v>84.43</v>
      </c>
      <c r="D25" s="2" t="inlineStr">
        <is>
          <t xml:space="preserve">37PY형</t>
        </is>
      </c>
      <c r="E25" s="2">
        <v>4</v>
      </c>
      <c r="F25" s="3">
        <v>420000</v>
      </c>
      <c r="G25" s="2" t="inlineStr">
        <is>
          <t xml:space="preserve">정상</t>
        </is>
      </c>
      <c r="H25" s="2" t="inlineStr">
        <is>
          <t xml:space="preserve">중개거래</t>
        </is>
      </c>
      <c r="I25" s="2" t="inlineStr">
        <is>
          <t xml:space="preserve">대치동 316</t>
        </is>
      </c>
      <c r="J25" s="2" t="inlineStr">
        <is>
          <t xml:space="preserve">삼성로 212</t>
        </is>
      </c>
      <c r="K25" s="2">
        <v>1980</v>
      </c>
      <c r="L25" s="2">
        <v>202601</v>
      </c>
    </row>
    <row r="26">
      <c r="A26" s="2">
        <v>25</v>
      </c>
      <c r="B26" s="2" t="inlineStr">
        <is>
          <t xml:space="preserve">2025-12-12</t>
        </is>
      </c>
      <c r="C26" s="2">
        <v>76.79</v>
      </c>
      <c r="D26" s="2" t="inlineStr">
        <is>
          <t xml:space="preserve">33PY형</t>
        </is>
      </c>
      <c r="E26" s="2">
        <v>12</v>
      </c>
      <c r="F26" s="3">
        <v>375000</v>
      </c>
      <c r="G26" s="2" t="inlineStr">
        <is>
          <t xml:space="preserve">정상</t>
        </is>
      </c>
      <c r="H26" s="2" t="inlineStr">
        <is>
          <t xml:space="preserve">중개거래</t>
        </is>
      </c>
      <c r="I26" s="2" t="inlineStr">
        <is>
          <t xml:space="preserve">대치동 316</t>
        </is>
      </c>
      <c r="J26" s="2" t="inlineStr">
        <is>
          <t xml:space="preserve">삼성로 212</t>
        </is>
      </c>
      <c r="K26" s="2">
        <v>1979</v>
      </c>
      <c r="L26" s="2">
        <v>202512</v>
      </c>
    </row>
    <row r="27">
      <c r="A27" s="2">
        <v>26</v>
      </c>
      <c r="B27" s="2" t="inlineStr">
        <is>
          <t xml:space="preserve">2025-12-06</t>
        </is>
      </c>
      <c r="C27" s="2">
        <v>76.79</v>
      </c>
      <c r="D27" s="2" t="inlineStr">
        <is>
          <t xml:space="preserve">33PY형</t>
        </is>
      </c>
      <c r="E27" s="2">
        <v>6</v>
      </c>
      <c r="F27" s="3">
        <v>377000</v>
      </c>
      <c r="G27" s="2" t="inlineStr">
        <is>
          <t xml:space="preserve">정상</t>
        </is>
      </c>
      <c r="H27" s="2" t="inlineStr">
        <is>
          <t xml:space="preserve">중개거래</t>
        </is>
      </c>
      <c r="I27" s="2" t="inlineStr">
        <is>
          <t xml:space="preserve">대치동 316</t>
        </is>
      </c>
      <c r="J27" s="2" t="inlineStr">
        <is>
          <t xml:space="preserve">삼성로 212</t>
        </is>
      </c>
      <c r="K27" s="2">
        <v>1979</v>
      </c>
      <c r="L27" s="2">
        <v>202512</v>
      </c>
    </row>
    <row r="28">
      <c r="A28" s="2">
        <v>27</v>
      </c>
      <c r="B28" s="2" t="inlineStr">
        <is>
          <t xml:space="preserve">2025-11-18</t>
        </is>
      </c>
      <c r="C28" s="2">
        <v>76.79</v>
      </c>
      <c r="D28" s="2" t="inlineStr">
        <is>
          <t xml:space="preserve">33PY형</t>
        </is>
      </c>
      <c r="E28" s="2">
        <v>11</v>
      </c>
      <c r="F28" s="3">
        <v>378500</v>
      </c>
      <c r="G28" s="2" t="inlineStr">
        <is>
          <t xml:space="preserve">정상</t>
        </is>
      </c>
      <c r="H28" s="2" t="inlineStr">
        <is>
          <t xml:space="preserve">중개거래</t>
        </is>
      </c>
      <c r="I28" s="2" t="inlineStr">
        <is>
          <t xml:space="preserve">대치동 316</t>
        </is>
      </c>
      <c r="J28" s="2" t="inlineStr">
        <is>
          <t xml:space="preserve">삼성로 212</t>
        </is>
      </c>
      <c r="K28" s="2">
        <v>1979</v>
      </c>
      <c r="L28" s="2">
        <v>202511</v>
      </c>
    </row>
    <row r="29">
      <c r="A29" s="2">
        <v>28</v>
      </c>
      <c r="B29" s="2" t="inlineStr">
        <is>
          <t xml:space="preserve">2025-11-06</t>
        </is>
      </c>
      <c r="C29" s="2">
        <v>76.79</v>
      </c>
      <c r="D29" s="2" t="inlineStr">
        <is>
          <t xml:space="preserve">33PY형</t>
        </is>
      </c>
      <c r="E29" s="2">
        <v>10</v>
      </c>
      <c r="F29" s="3">
        <v>380000</v>
      </c>
      <c r="G29" s="2" t="inlineStr">
        <is>
          <t xml:space="preserve">정상</t>
        </is>
      </c>
      <c r="H29" s="2" t="inlineStr">
        <is>
          <t xml:space="preserve">중개거래</t>
        </is>
      </c>
      <c r="I29" s="2" t="inlineStr">
        <is>
          <t xml:space="preserve">대치동 316</t>
        </is>
      </c>
      <c r="J29" s="2" t="inlineStr">
        <is>
          <t xml:space="preserve">삼성로 212</t>
        </is>
      </c>
      <c r="K29" s="2">
        <v>1979</v>
      </c>
      <c r="L29" s="2">
        <v>202511</v>
      </c>
    </row>
    <row r="30">
      <c r="A30" s="2">
        <v>29</v>
      </c>
      <c r="B30" s="2" t="inlineStr">
        <is>
          <t xml:space="preserve">2025-11-03</t>
        </is>
      </c>
      <c r="C30" s="2">
        <v>84.43</v>
      </c>
      <c r="D30" s="2" t="inlineStr">
        <is>
          <t xml:space="preserve">37PY형</t>
        </is>
      </c>
      <c r="E30" s="2">
        <v>4</v>
      </c>
      <c r="F30" s="3">
        <v>415000</v>
      </c>
      <c r="G30" s="2" t="inlineStr">
        <is>
          <t xml:space="preserve">정상</t>
        </is>
      </c>
      <c r="H30" s="2" t="inlineStr">
        <is>
          <t xml:space="preserve">중개거래</t>
        </is>
      </c>
      <c r="I30" s="2" t="inlineStr">
        <is>
          <t xml:space="preserve">대치동 316</t>
        </is>
      </c>
      <c r="J30" s="2" t="inlineStr">
        <is>
          <t xml:space="preserve">삼성로 212</t>
        </is>
      </c>
      <c r="K30" s="2">
        <v>1980</v>
      </c>
      <c r="L30" s="2">
        <v>202511</v>
      </c>
    </row>
    <row r="31">
      <c r="A31" s="2">
        <v>30</v>
      </c>
      <c r="B31" s="2" t="inlineStr">
        <is>
          <t xml:space="preserve">2025-10-31</t>
        </is>
      </c>
      <c r="C31" s="2">
        <v>84.43</v>
      </c>
      <c r="D31" s="2" t="inlineStr">
        <is>
          <t xml:space="preserve">37PY형</t>
        </is>
      </c>
      <c r="E31" s="2">
        <v>13</v>
      </c>
      <c r="F31" s="3">
        <v>431000</v>
      </c>
      <c r="G31" s="2" t="inlineStr">
        <is>
          <t xml:space="preserve">정상</t>
        </is>
      </c>
      <c r="H31" s="2" t="inlineStr">
        <is>
          <t xml:space="preserve">중개거래</t>
        </is>
      </c>
      <c r="I31" s="2" t="inlineStr">
        <is>
          <t xml:space="preserve">대치동 316</t>
        </is>
      </c>
      <c r="J31" s="2" t="inlineStr">
        <is>
          <t xml:space="preserve">삼성로 212</t>
        </is>
      </c>
      <c r="K31" s="2">
        <v>1979</v>
      </c>
      <c r="L31" s="2">
        <v>202510</v>
      </c>
    </row>
    <row r="32">
      <c r="A32" s="2">
        <v>31</v>
      </c>
      <c r="B32" s="2" t="inlineStr">
        <is>
          <t xml:space="preserve">2025-10-31</t>
        </is>
      </c>
      <c r="C32" s="2">
        <v>84.43</v>
      </c>
      <c r="D32" s="2" t="inlineStr">
        <is>
          <t xml:space="preserve">37PY형</t>
        </is>
      </c>
      <c r="E32" s="2">
        <v>13</v>
      </c>
      <c r="F32" s="3">
        <v>431000</v>
      </c>
      <c r="G32" s="2" t="inlineStr">
        <is>
          <t xml:space="preserve">해제</t>
        </is>
      </c>
      <c r="H32" s="2" t="inlineStr">
        <is>
          <t xml:space="preserve">중개거래</t>
        </is>
      </c>
      <c r="I32" s="2" t="inlineStr">
        <is>
          <t xml:space="preserve">대치동 316</t>
        </is>
      </c>
      <c r="J32" s="2" t="inlineStr">
        <is>
          <t xml:space="preserve">삼성로 212</t>
        </is>
      </c>
      <c r="K32" s="2">
        <v>1979</v>
      </c>
      <c r="L32" s="2">
        <v>202510</v>
      </c>
    </row>
    <row r="33">
      <c r="A33" s="2">
        <v>32</v>
      </c>
      <c r="B33" s="2" t="inlineStr">
        <is>
          <t xml:space="preserve">2025-10-31</t>
        </is>
      </c>
      <c r="C33" s="2">
        <v>76.79</v>
      </c>
      <c r="D33" s="2" t="inlineStr">
        <is>
          <t xml:space="preserve">33PY형</t>
        </is>
      </c>
      <c r="E33" s="2">
        <v>9</v>
      </c>
      <c r="F33" s="3">
        <v>372500</v>
      </c>
      <c r="G33" s="2" t="inlineStr">
        <is>
          <t xml:space="preserve">정상</t>
        </is>
      </c>
      <c r="H33" s="2" t="inlineStr">
        <is>
          <t xml:space="preserve">중개거래</t>
        </is>
      </c>
      <c r="I33" s="2" t="inlineStr">
        <is>
          <t xml:space="preserve">대치동 316</t>
        </is>
      </c>
      <c r="J33" s="2" t="inlineStr">
        <is>
          <t xml:space="preserve">삼성로 212</t>
        </is>
      </c>
      <c r="K33" s="2">
        <v>1980</v>
      </c>
      <c r="L33" s="2">
        <v>202510</v>
      </c>
    </row>
    <row r="34">
      <c r="A34" s="2">
        <v>33</v>
      </c>
      <c r="B34" s="2" t="inlineStr">
        <is>
          <t xml:space="preserve">2025-10-30</t>
        </is>
      </c>
      <c r="C34" s="2">
        <v>76.79</v>
      </c>
      <c r="D34" s="2" t="inlineStr">
        <is>
          <t xml:space="preserve">33PY형</t>
        </is>
      </c>
      <c r="E34" s="2">
        <v>5</v>
      </c>
      <c r="F34" s="3">
        <v>369000</v>
      </c>
      <c r="G34" s="2" t="inlineStr">
        <is>
          <t xml:space="preserve">정상</t>
        </is>
      </c>
      <c r="H34" s="2" t="inlineStr">
        <is>
          <t xml:space="preserve">중개거래</t>
        </is>
      </c>
      <c r="I34" s="2" t="inlineStr">
        <is>
          <t xml:space="preserve">대치동 316</t>
        </is>
      </c>
      <c r="J34" s="2" t="inlineStr">
        <is>
          <t xml:space="preserve">삼성로 212</t>
        </is>
      </c>
      <c r="K34" s="2">
        <v>1979</v>
      </c>
      <c r="L34" s="2">
        <v>202510</v>
      </c>
    </row>
    <row r="35">
      <c r="A35" s="2">
        <v>34</v>
      </c>
      <c r="B35" s="2" t="inlineStr">
        <is>
          <t xml:space="preserve">2025-10-29</t>
        </is>
      </c>
      <c r="C35" s="2">
        <v>76.79</v>
      </c>
      <c r="D35" s="2" t="inlineStr">
        <is>
          <t xml:space="preserve">33PY형</t>
        </is>
      </c>
      <c r="E35" s="2">
        <v>3</v>
      </c>
      <c r="F35" s="3">
        <v>359000</v>
      </c>
      <c r="G35" s="2" t="inlineStr">
        <is>
          <t xml:space="preserve">해제</t>
        </is>
      </c>
      <c r="H35" s="2" t="inlineStr">
        <is>
          <t xml:space="preserve">중개거래</t>
        </is>
      </c>
      <c r="I35" s="2" t="inlineStr">
        <is>
          <t xml:space="preserve">대치동 316</t>
        </is>
      </c>
      <c r="J35" s="2" t="inlineStr">
        <is>
          <t xml:space="preserve">삼성로 212</t>
        </is>
      </c>
      <c r="K35" s="2">
        <v>1979</v>
      </c>
      <c r="L35" s="2">
        <v>202510</v>
      </c>
    </row>
    <row r="36">
      <c r="A36" s="2">
        <v>35</v>
      </c>
      <c r="B36" s="2" t="inlineStr">
        <is>
          <t xml:space="preserve">2025-10-29</t>
        </is>
      </c>
      <c r="C36" s="2">
        <v>76.79</v>
      </c>
      <c r="D36" s="2" t="inlineStr">
        <is>
          <t xml:space="preserve">33PY형</t>
        </is>
      </c>
      <c r="E36" s="2">
        <v>3</v>
      </c>
      <c r="F36" s="3">
        <v>359000</v>
      </c>
      <c r="G36" s="2" t="inlineStr">
        <is>
          <t xml:space="preserve">해제</t>
        </is>
      </c>
      <c r="H36" s="2" t="inlineStr">
        <is>
          <t xml:space="preserve">중개거래</t>
        </is>
      </c>
      <c r="I36" s="2" t="inlineStr">
        <is>
          <t xml:space="preserve">대치동 316</t>
        </is>
      </c>
      <c r="J36" s="2" t="inlineStr">
        <is>
          <t xml:space="preserve">삼성로 212</t>
        </is>
      </c>
      <c r="K36" s="2">
        <v>1979</v>
      </c>
      <c r="L36" s="2">
        <v>202510</v>
      </c>
    </row>
    <row r="37">
      <c r="A37" s="2">
        <v>36</v>
      </c>
      <c r="B37" s="2" t="inlineStr">
        <is>
          <t xml:space="preserve">2025-10-23</t>
        </is>
      </c>
      <c r="C37" s="2">
        <v>76.79</v>
      </c>
      <c r="D37" s="2" t="inlineStr">
        <is>
          <t xml:space="preserve">33PY형</t>
        </is>
      </c>
      <c r="E37" s="2">
        <v>4</v>
      </c>
      <c r="F37" s="3">
        <v>360000</v>
      </c>
      <c r="G37" s="2" t="inlineStr">
        <is>
          <t xml:space="preserve">정상</t>
        </is>
      </c>
      <c r="H37" s="2" t="inlineStr">
        <is>
          <t xml:space="preserve">중개거래</t>
        </is>
      </c>
      <c r="I37" s="2" t="inlineStr">
        <is>
          <t xml:space="preserve">대치동 316</t>
        </is>
      </c>
      <c r="J37" s="2" t="inlineStr">
        <is>
          <t xml:space="preserve">삼성로 212</t>
        </is>
      </c>
      <c r="K37" s="2">
        <v>1979</v>
      </c>
      <c r="L37" s="2">
        <v>202510</v>
      </c>
    </row>
    <row r="38">
      <c r="A38" s="2">
        <v>37</v>
      </c>
      <c r="B38" s="2" t="inlineStr">
        <is>
          <t xml:space="preserve">2025-10-14</t>
        </is>
      </c>
      <c r="C38" s="2">
        <v>84.43</v>
      </c>
      <c r="D38" s="2" t="inlineStr">
        <is>
          <t xml:space="preserve">37PY형</t>
        </is>
      </c>
      <c r="E38" s="2">
        <v>12</v>
      </c>
      <c r="F38" s="3">
        <v>428000</v>
      </c>
      <c r="G38" s="2" t="inlineStr">
        <is>
          <t xml:space="preserve">정상</t>
        </is>
      </c>
      <c r="H38" s="2" t="inlineStr">
        <is>
          <t xml:space="preserve">중개거래</t>
        </is>
      </c>
      <c r="I38" s="2" t="inlineStr">
        <is>
          <t xml:space="preserve">대치동 316</t>
        </is>
      </c>
      <c r="J38" s="2" t="inlineStr">
        <is>
          <t xml:space="preserve">삼성로 212</t>
        </is>
      </c>
      <c r="K38" s="2">
        <v>1979</v>
      </c>
      <c r="L38" s="2">
        <v>202510</v>
      </c>
    </row>
    <row r="39">
      <c r="A39" s="2">
        <v>38</v>
      </c>
      <c r="B39" s="2" t="inlineStr">
        <is>
          <t xml:space="preserve">2025-10-02</t>
        </is>
      </c>
      <c r="C39" s="2">
        <v>76.79</v>
      </c>
      <c r="D39" s="2" t="inlineStr">
        <is>
          <t xml:space="preserve">33PY형</t>
        </is>
      </c>
      <c r="E39" s="2">
        <v>4</v>
      </c>
      <c r="F39" s="3">
        <v>360000</v>
      </c>
      <c r="G39" s="2" t="inlineStr">
        <is>
          <t xml:space="preserve">해제</t>
        </is>
      </c>
      <c r="H39" s="2" t="inlineStr">
        <is>
          <t xml:space="preserve">중개거래</t>
        </is>
      </c>
      <c r="I39" s="2" t="inlineStr">
        <is>
          <t xml:space="preserve">대치동 316</t>
        </is>
      </c>
      <c r="J39" s="2" t="inlineStr">
        <is>
          <t xml:space="preserve">삼성로 212</t>
        </is>
      </c>
      <c r="K39" s="2">
        <v>1979</v>
      </c>
      <c r="L39" s="2">
        <v>202510</v>
      </c>
    </row>
    <row r="40">
      <c r="A40" s="2">
        <v>39</v>
      </c>
      <c r="B40" s="2" t="inlineStr">
        <is>
          <t xml:space="preserve">2025-10-01</t>
        </is>
      </c>
      <c r="C40" s="2">
        <v>76.79</v>
      </c>
      <c r="D40" s="2" t="inlineStr">
        <is>
          <t xml:space="preserve">33PY형</t>
        </is>
      </c>
      <c r="E40" s="2">
        <v>12</v>
      </c>
      <c r="F40" s="3">
        <v>350000</v>
      </c>
      <c r="G40" s="2" t="inlineStr">
        <is>
          <t xml:space="preserve">정상</t>
        </is>
      </c>
      <c r="H40" s="2" t="inlineStr">
        <is>
          <t xml:space="preserve">중개거래</t>
        </is>
      </c>
      <c r="I40" s="2" t="inlineStr">
        <is>
          <t xml:space="preserve">대치동 316</t>
        </is>
      </c>
      <c r="J40" s="2" t="inlineStr">
        <is>
          <t xml:space="preserve">삼성로 212</t>
        </is>
      </c>
      <c r="K40" s="2">
        <v>1979</v>
      </c>
      <c r="L40" s="2">
        <v>202510</v>
      </c>
    </row>
    <row r="41">
      <c r="A41" s="2">
        <v>40</v>
      </c>
      <c r="B41" s="2" t="inlineStr">
        <is>
          <t xml:space="preserve">2025-09-30</t>
        </is>
      </c>
      <c r="C41" s="2">
        <v>84.43</v>
      </c>
      <c r="D41" s="2" t="inlineStr">
        <is>
          <t xml:space="preserve">37PY형</t>
        </is>
      </c>
      <c r="E41" s="2">
        <v>7</v>
      </c>
      <c r="F41" s="3">
        <v>403000</v>
      </c>
      <c r="G41" s="2" t="inlineStr">
        <is>
          <t xml:space="preserve">해제</t>
        </is>
      </c>
      <c r="H41" s="2" t="inlineStr">
        <is>
          <t xml:space="preserve">중개거래</t>
        </is>
      </c>
      <c r="I41" s="2" t="inlineStr">
        <is>
          <t xml:space="preserve">대치동 316</t>
        </is>
      </c>
      <c r="J41" s="2" t="inlineStr">
        <is>
          <t xml:space="preserve">삼성로 212</t>
        </is>
      </c>
      <c r="K41" s="2">
        <v>1980</v>
      </c>
      <c r="L41" s="2">
        <v>202509</v>
      </c>
    </row>
    <row r="42">
      <c r="A42" s="2">
        <v>41</v>
      </c>
      <c r="B42" s="2" t="inlineStr">
        <is>
          <t xml:space="preserve">2025-09-30</t>
        </is>
      </c>
      <c r="C42" s="2">
        <v>76.79</v>
      </c>
      <c r="D42" s="2" t="inlineStr">
        <is>
          <t xml:space="preserve">33PY형</t>
        </is>
      </c>
      <c r="E42" s="2">
        <v>12</v>
      </c>
      <c r="F42" s="3">
        <v>359000</v>
      </c>
      <c r="G42" s="2" t="inlineStr">
        <is>
          <t xml:space="preserve">정상</t>
        </is>
      </c>
      <c r="H42" s="2" t="inlineStr">
        <is>
          <t xml:space="preserve">중개거래</t>
        </is>
      </c>
      <c r="I42" s="2" t="inlineStr">
        <is>
          <t xml:space="preserve">대치동 316</t>
        </is>
      </c>
      <c r="J42" s="2" t="inlineStr">
        <is>
          <t xml:space="preserve">삼성로 212</t>
        </is>
      </c>
      <c r="K42" s="2">
        <v>1980</v>
      </c>
      <c r="L42" s="2">
        <v>202509</v>
      </c>
    </row>
    <row r="43">
      <c r="A43" s="2">
        <v>42</v>
      </c>
      <c r="B43" s="2" t="inlineStr">
        <is>
          <t xml:space="preserve">2025-09-20</t>
        </is>
      </c>
      <c r="C43" s="2">
        <v>76.79</v>
      </c>
      <c r="D43" s="2" t="inlineStr">
        <is>
          <t xml:space="preserve">33PY형</t>
        </is>
      </c>
      <c r="E43" s="2">
        <v>6</v>
      </c>
      <c r="F43" s="3">
        <v>353000</v>
      </c>
      <c r="G43" s="2" t="inlineStr">
        <is>
          <t xml:space="preserve">정상</t>
        </is>
      </c>
      <c r="H43" s="2" t="inlineStr">
        <is>
          <t xml:space="preserve">중개거래</t>
        </is>
      </c>
      <c r="I43" s="2" t="inlineStr">
        <is>
          <t xml:space="preserve">대치동 316</t>
        </is>
      </c>
      <c r="J43" s="2" t="inlineStr">
        <is>
          <t xml:space="preserve">삼성로 212</t>
        </is>
      </c>
      <c r="K43" s="2">
        <v>1980</v>
      </c>
      <c r="L43" s="2">
        <v>202509</v>
      </c>
    </row>
    <row r="44">
      <c r="A44" s="2">
        <v>43</v>
      </c>
      <c r="B44" s="2" t="inlineStr">
        <is>
          <t xml:space="preserve">2025-09-17</t>
        </is>
      </c>
      <c r="C44" s="2">
        <v>84.43</v>
      </c>
      <c r="D44" s="2" t="inlineStr">
        <is>
          <t xml:space="preserve">37PY형</t>
        </is>
      </c>
      <c r="E44" s="2">
        <v>2</v>
      </c>
      <c r="F44" s="3">
        <v>417000</v>
      </c>
      <c r="G44" s="2" t="inlineStr">
        <is>
          <t xml:space="preserve">정상</t>
        </is>
      </c>
      <c r="H44" s="2" t="inlineStr">
        <is>
          <t xml:space="preserve">중개거래</t>
        </is>
      </c>
      <c r="I44" s="2" t="inlineStr">
        <is>
          <t xml:space="preserve">대치동 316</t>
        </is>
      </c>
      <c r="J44" s="2" t="inlineStr">
        <is>
          <t xml:space="preserve">삼성로 212</t>
        </is>
      </c>
      <c r="K44" s="2">
        <v>1980</v>
      </c>
      <c r="L44" s="2">
        <v>202509</v>
      </c>
    </row>
    <row r="45">
      <c r="A45" s="2">
        <v>44</v>
      </c>
      <c r="B45" s="2" t="inlineStr">
        <is>
          <t xml:space="preserve">2025-09-08</t>
        </is>
      </c>
      <c r="C45" s="2">
        <v>84.43</v>
      </c>
      <c r="D45" s="2" t="inlineStr">
        <is>
          <t xml:space="preserve">37PY형</t>
        </is>
      </c>
      <c r="E45" s="2">
        <v>2</v>
      </c>
      <c r="F45" s="3">
        <v>398000</v>
      </c>
      <c r="G45" s="2" t="inlineStr">
        <is>
          <t xml:space="preserve">정상</t>
        </is>
      </c>
      <c r="H45" s="2" t="inlineStr">
        <is>
          <t xml:space="preserve">중개거래</t>
        </is>
      </c>
      <c r="I45" s="2" t="inlineStr">
        <is>
          <t xml:space="preserve">대치동 316</t>
        </is>
      </c>
      <c r="J45" s="2" t="inlineStr">
        <is>
          <t xml:space="preserve">삼성로 212</t>
        </is>
      </c>
      <c r="K45" s="2">
        <v>1980</v>
      </c>
      <c r="L45" s="2">
        <v>202509</v>
      </c>
    </row>
    <row r="46">
      <c r="A46" s="2">
        <v>45</v>
      </c>
      <c r="B46" s="2" t="inlineStr">
        <is>
          <t xml:space="preserve">2025-09-02</t>
        </is>
      </c>
      <c r="C46" s="2">
        <v>76.79</v>
      </c>
      <c r="D46" s="2" t="inlineStr">
        <is>
          <t xml:space="preserve">33PY형</t>
        </is>
      </c>
      <c r="E46" s="2">
        <v>9</v>
      </c>
      <c r="F46" s="3">
        <v>338000</v>
      </c>
      <c r="G46" s="2" t="inlineStr">
        <is>
          <t xml:space="preserve">정상</t>
        </is>
      </c>
      <c r="H46" s="2" t="inlineStr">
        <is>
          <t xml:space="preserve">중개거래</t>
        </is>
      </c>
      <c r="I46" s="2" t="inlineStr">
        <is>
          <t xml:space="preserve">대치동 316</t>
        </is>
      </c>
      <c r="J46" s="2" t="inlineStr">
        <is>
          <t xml:space="preserve">삼성로 212</t>
        </is>
      </c>
      <c r="K46" s="2">
        <v>1979</v>
      </c>
      <c r="L46" s="2">
        <v>202509</v>
      </c>
    </row>
    <row r="48">
      <c r="A48" s="5" t="inlineStr">
        <is>
          <t xml:space="preserve">※ 국토교통부 실거래가공개시스템 원본 CSV 그대로 반영(다운로드: 2026-08-21). 해제여부 "해제" = 계약 후 해제 건.</t>
        </is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13" customWidth="1"/>
    <col min="3" max="3" width="17" customWidth="1"/>
    <col min="4" max="4" width="13" customWidth="1"/>
    <col min="5" max="5" width="17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계약월</t>
        </is>
      </c>
      <c r="B1" s="1" t="inlineStr">
        <is>
          <t xml:space="preserve">33PY형 거래수</t>
        </is>
      </c>
      <c r="C1" s="1" t="inlineStr">
        <is>
          <t xml:space="preserve">33PY형 평균가(만원)</t>
        </is>
      </c>
      <c r="D1" s="1" t="inlineStr">
        <is>
          <t xml:space="preserve">37PY형 거래수</t>
        </is>
      </c>
      <c r="E1" s="1" t="inlineStr">
        <is>
          <t xml:space="preserve">37PY형 평균가(만원)</t>
        </is>
      </c>
    </row>
    <row r="2">
      <c r="A2" s="2" t="inlineStr">
        <is>
          <t xml:space="preserve">2025-09</t>
        </is>
      </c>
      <c r="B2" s="2">
        <f>COUNTIFS('전체 거래내역'!C:C,76.79,'전체 거래내역'!G:G,"정상",'전체 거래내역'!L:L,202509)</f>
      </c>
      <c r="C2" s="3">
        <f>IFERROR(ROUND(AVERAGEIFS('전체 거래내역'!F:F,'전체 거래내역'!C:C,76.79,'전체 거래내역'!G:G,"정상",'전체 거래내역'!L:L,202509),0),"")</f>
      </c>
      <c r="D2" s="2">
        <f>COUNTIFS('전체 거래내역'!C:C,84.43,'전체 거래내역'!G:G,"정상",'전체 거래내역'!L:L,202509)</f>
      </c>
      <c r="E2" s="3">
        <f>IFERROR(ROUND(AVERAGEIFS('전체 거래내역'!F:F,'전체 거래내역'!C:C,84.43,'전체 거래내역'!G:G,"정상",'전체 거래내역'!L:L,202509),0),"")</f>
      </c>
    </row>
    <row r="3">
      <c r="A3" s="2" t="inlineStr">
        <is>
          <t xml:space="preserve">2025-10</t>
        </is>
      </c>
      <c r="B3" s="2">
        <f>COUNTIFS('전체 거래내역'!C:C,76.79,'전체 거래내역'!G:G,"정상",'전체 거래내역'!L:L,202510)</f>
      </c>
      <c r="C3" s="3">
        <f>IFERROR(ROUND(AVERAGEIFS('전체 거래내역'!F:F,'전체 거래내역'!C:C,76.79,'전체 거래내역'!G:G,"정상",'전체 거래내역'!L:L,202510),0),"")</f>
      </c>
      <c r="D3" s="2">
        <f>COUNTIFS('전체 거래내역'!C:C,84.43,'전체 거래내역'!G:G,"정상",'전체 거래내역'!L:L,202510)</f>
      </c>
      <c r="E3" s="3">
        <f>IFERROR(ROUND(AVERAGEIFS('전체 거래내역'!F:F,'전체 거래내역'!C:C,84.43,'전체 거래내역'!G:G,"정상",'전체 거래내역'!L:L,202510),0),"")</f>
      </c>
    </row>
    <row r="4">
      <c r="A4" s="2" t="inlineStr">
        <is>
          <t xml:space="preserve">2025-11</t>
        </is>
      </c>
      <c r="B4" s="2">
        <f>COUNTIFS('전체 거래내역'!C:C,76.79,'전체 거래내역'!G:G,"정상",'전체 거래내역'!L:L,202511)</f>
      </c>
      <c r="C4" s="3">
        <f>IFERROR(ROUND(AVERAGEIFS('전체 거래내역'!F:F,'전체 거래내역'!C:C,76.79,'전체 거래내역'!G:G,"정상",'전체 거래내역'!L:L,202511),0),"")</f>
      </c>
      <c r="D4" s="2">
        <f>COUNTIFS('전체 거래내역'!C:C,84.43,'전체 거래내역'!G:G,"정상",'전체 거래내역'!L:L,202511)</f>
      </c>
      <c r="E4" s="3">
        <f>IFERROR(ROUND(AVERAGEIFS('전체 거래내역'!F:F,'전체 거래내역'!C:C,84.43,'전체 거래내역'!G:G,"정상",'전체 거래내역'!L:L,202511),0),"")</f>
      </c>
    </row>
    <row r="5">
      <c r="A5" s="2" t="inlineStr">
        <is>
          <t xml:space="preserve">2025-12</t>
        </is>
      </c>
      <c r="B5" s="2">
        <f>COUNTIFS('전체 거래내역'!C:C,76.79,'전체 거래내역'!G:G,"정상",'전체 거래내역'!L:L,202512)</f>
      </c>
      <c r="C5" s="3">
        <f>IFERROR(ROUND(AVERAGEIFS('전체 거래내역'!F:F,'전체 거래내역'!C:C,76.79,'전체 거래내역'!G:G,"정상",'전체 거래내역'!L:L,202512),0),"")</f>
      </c>
      <c r="D5" s="2">
        <f>COUNTIFS('전체 거래내역'!C:C,84.43,'전체 거래내역'!G:G,"정상",'전체 거래내역'!L:L,202512)</f>
      </c>
      <c r="E5" s="3">
        <f>IFERROR(ROUND(AVERAGEIFS('전체 거래내역'!F:F,'전체 거래내역'!C:C,84.43,'전체 거래내역'!G:G,"정상",'전체 거래내역'!L:L,202512),0),"")</f>
      </c>
    </row>
    <row r="6">
      <c r="A6" s="2" t="inlineStr">
        <is>
          <t xml:space="preserve">2026-01</t>
        </is>
      </c>
      <c r="B6" s="2">
        <f>COUNTIFS('전체 거래내역'!C:C,76.79,'전체 거래내역'!G:G,"정상",'전체 거래내역'!L:L,202601)</f>
      </c>
      <c r="C6" s="3">
        <f>IFERROR(ROUND(AVERAGEIFS('전체 거래내역'!F:F,'전체 거래내역'!C:C,76.79,'전체 거래내역'!G:G,"정상",'전체 거래내역'!L:L,202601),0),"")</f>
      </c>
      <c r="D6" s="2">
        <f>COUNTIFS('전체 거래내역'!C:C,84.43,'전체 거래내역'!G:G,"정상",'전체 거래내역'!L:L,202601)</f>
      </c>
      <c r="E6" s="3">
        <f>IFERROR(ROUND(AVERAGEIFS('전체 거래내역'!F:F,'전체 거래내역'!C:C,84.43,'전체 거래내역'!G:G,"정상",'전체 거래내역'!L:L,202601),0),"")</f>
      </c>
    </row>
    <row r="7">
      <c r="A7" s="2" t="inlineStr">
        <is>
          <t xml:space="preserve">2026-02</t>
        </is>
      </c>
      <c r="B7" s="2">
        <f>COUNTIFS('전체 거래내역'!C:C,76.79,'전체 거래내역'!G:G,"정상",'전체 거래내역'!L:L,202602)</f>
      </c>
      <c r="C7" s="3">
        <f>IFERROR(ROUND(AVERAGEIFS('전체 거래내역'!F:F,'전체 거래내역'!C:C,76.79,'전체 거래내역'!G:G,"정상",'전체 거래내역'!L:L,202602),0),"")</f>
      </c>
      <c r="D7" s="2">
        <f>COUNTIFS('전체 거래내역'!C:C,84.43,'전체 거래내역'!G:G,"정상",'전체 거래내역'!L:L,202602)</f>
      </c>
      <c r="E7" s="3">
        <f>IFERROR(ROUND(AVERAGEIFS('전체 거래내역'!F:F,'전체 거래내역'!C:C,84.43,'전체 거래내역'!G:G,"정상",'전체 거래내역'!L:L,202602),0),"")</f>
      </c>
    </row>
    <row r="8">
      <c r="A8" s="2" t="inlineStr">
        <is>
          <t xml:space="preserve">2026-03</t>
        </is>
      </c>
      <c r="B8" s="2">
        <f>COUNTIFS('전체 거래내역'!C:C,76.79,'전체 거래내역'!G:G,"정상",'전체 거래내역'!L:L,202603)</f>
      </c>
      <c r="C8" s="3">
        <f>IFERROR(ROUND(AVERAGEIFS('전체 거래내역'!F:F,'전체 거래내역'!C:C,76.79,'전체 거래내역'!G:G,"정상",'전체 거래내역'!L:L,202603),0),"")</f>
      </c>
      <c r="D8" s="2">
        <f>COUNTIFS('전체 거래내역'!C:C,84.43,'전체 거래내역'!G:G,"정상",'전체 거래내역'!L:L,202603)</f>
      </c>
      <c r="E8" s="3">
        <f>IFERROR(ROUND(AVERAGEIFS('전체 거래내역'!F:F,'전체 거래내역'!C:C,84.43,'전체 거래내역'!G:G,"정상",'전체 거래내역'!L:L,202603),0),"")</f>
      </c>
    </row>
    <row r="9">
      <c r="A9" s="2" t="inlineStr">
        <is>
          <t xml:space="preserve">2026-04</t>
        </is>
      </c>
      <c r="B9" s="2">
        <f>COUNTIFS('전체 거래내역'!C:C,76.79,'전체 거래내역'!G:G,"정상",'전체 거래내역'!L:L,202604)</f>
      </c>
      <c r="C9" s="3">
        <f>IFERROR(ROUND(AVERAGEIFS('전체 거래내역'!F:F,'전체 거래내역'!C:C,76.79,'전체 거래내역'!G:G,"정상",'전체 거래내역'!L:L,202604),0),"")</f>
      </c>
      <c r="D9" s="2">
        <f>COUNTIFS('전체 거래내역'!C:C,84.43,'전체 거래내역'!G:G,"정상",'전체 거래내역'!L:L,202604)</f>
      </c>
      <c r="E9" s="3">
        <f>IFERROR(ROUND(AVERAGEIFS('전체 거래내역'!F:F,'전체 거래내역'!C:C,84.43,'전체 거래내역'!G:G,"정상",'전체 거래내역'!L:L,202604),0),"")</f>
      </c>
    </row>
    <row r="10">
      <c r="A10" s="2" t="inlineStr">
        <is>
          <t xml:space="preserve">2026-05</t>
        </is>
      </c>
      <c r="B10" s="2">
        <f>COUNTIFS('전체 거래내역'!C:C,76.79,'전체 거래내역'!G:G,"정상",'전체 거래내역'!L:L,202605)</f>
      </c>
      <c r="C10" s="3">
        <f>IFERROR(ROUND(AVERAGEIFS('전체 거래내역'!F:F,'전체 거래내역'!C:C,76.79,'전체 거래내역'!G:G,"정상",'전체 거래내역'!L:L,202605),0),"")</f>
      </c>
      <c r="D10" s="2">
        <f>COUNTIFS('전체 거래내역'!C:C,84.43,'전체 거래내역'!G:G,"정상",'전체 거래내역'!L:L,202605)</f>
      </c>
      <c r="E10" s="3">
        <f>IFERROR(ROUND(AVERAGEIFS('전체 거래내역'!F:F,'전체 거래내역'!C:C,84.43,'전체 거래내역'!G:G,"정상",'전체 거래내역'!L:L,202605),0),"")</f>
      </c>
    </row>
    <row r="11">
      <c r="A11" s="2" t="inlineStr">
        <is>
          <t xml:space="preserve">2026-06</t>
        </is>
      </c>
      <c r="B11" s="2">
        <f>COUNTIFS('전체 거래내역'!C:C,76.79,'전체 거래내역'!G:G,"정상",'전체 거래내역'!L:L,202606)</f>
      </c>
      <c r="C11" s="3">
        <f>IFERROR(ROUND(AVERAGEIFS('전체 거래내역'!F:F,'전체 거래내역'!C:C,76.79,'전체 거래내역'!G:G,"정상",'전체 거래내역'!L:L,202606),0),"")</f>
      </c>
      <c r="D11" s="2">
        <f>COUNTIFS('전체 거래내역'!C:C,84.43,'전체 거래내역'!G:G,"정상",'전체 거래내역'!L:L,202606)</f>
      </c>
      <c r="E11" s="3">
        <f>IFERROR(ROUND(AVERAGEIFS('전체 거래내역'!F:F,'전체 거래내역'!C:C,84.43,'전체 거래내역'!G:G,"정상",'전체 거래내역'!L:L,202606),0),"")</f>
      </c>
    </row>
    <row r="12">
      <c r="A12" s="2" t="inlineStr">
        <is>
          <t xml:space="preserve">2026-07</t>
        </is>
      </c>
      <c r="B12" s="2">
        <f>COUNTIFS('전체 거래내역'!C:C,76.79,'전체 거래내역'!G:G,"정상",'전체 거래내역'!L:L,202607)</f>
      </c>
      <c r="C12" s="3">
        <f>IFERROR(ROUND(AVERAGEIFS('전체 거래내역'!F:F,'전체 거래내역'!C:C,76.79,'전체 거래내역'!G:G,"정상",'전체 거래내역'!L:L,202607),0),"")</f>
      </c>
      <c r="D12" s="2">
        <f>COUNTIFS('전체 거래내역'!C:C,84.43,'전체 거래내역'!G:G,"정상",'전체 거래내역'!L:L,202607)</f>
      </c>
      <c r="E12" s="3">
        <f>IFERROR(ROUND(AVERAGEIFS('전체 거래내역'!F:F,'전체 거래내역'!C:C,84.43,'전체 거래내역'!G:G,"정상",'전체 거래내역'!L:L,202607),0),"")</f>
      </c>
    </row>
    <row r="13">
      <c r="A13" s="2" t="inlineStr">
        <is>
          <t xml:space="preserve">2026-08</t>
        </is>
      </c>
      <c r="B13" s="2">
        <f>COUNTIFS('전체 거래내역'!C:C,76.79,'전체 거래내역'!G:G,"정상",'전체 거래내역'!L:L,202608)</f>
      </c>
      <c r="C13" s="3">
        <f>IFERROR(ROUND(AVERAGEIFS('전체 거래내역'!F:F,'전체 거래내역'!C:C,76.79,'전체 거래내역'!G:G,"정상",'전체 거래내역'!L:L,202608),0),"")</f>
      </c>
      <c r="D13" s="2">
        <f>COUNTIFS('전체 거래내역'!C:C,84.43,'전체 거래내역'!G:G,"정상",'전체 거래내역'!L:L,202608)</f>
      </c>
      <c r="E13" s="3">
        <f>IFERROR(ROUND(AVERAGEIFS('전체 거래내역'!F:F,'전체 거래내역'!C:C,84.43,'전체 거래내역'!G:G,"정상",'전체 거래내역'!L:L,202608),0),"")</f>
      </c>
    </row>
  </sheetData>
</worksheet>
</file>