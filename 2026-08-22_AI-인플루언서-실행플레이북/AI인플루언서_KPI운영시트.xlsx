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대시보드" sheetId="1" r:id="rId1"/>
    <sheet name="KPI_일별" sheetId="2" r:id="rId2"/>
    <sheet name="게시큐" sheetId="3" r:id="rId3"/>
    <sheet name="납품" sheetId="4" r:id="rId4"/>
    <sheet name="재무" sheetId="5" r:id="rId5"/>
    <sheet name="툴비" sheetId="6" r:id="rId6"/>
    <sheet name="실험로그" sheetId="7" r:id="rId7"/>
    <sheet name="정책감시" sheetId="8" r:id="rId8"/>
  </sheets>
  <calcPr calcId="171027" fullCalcOnLoad="1"/>
</workbook>
</file>

<file path=xl/styles.xml><?xml version="1.0" encoding="utf-8"?>
<styleSheet xmlns="http://schemas.openxmlformats.org/spreadsheetml/2006/main">
  <fonts count="3">
    <font>
      <sz val="10.5"/>
      <name val="Helvetica Neue"/>
      <color rgb="FF1A1F2B"/>
    </font>
    <font>
      <b/>
      <sz val="10.5"/>
      <name val="Helvetica Neue"/>
      <color rgb="FFFFFFFF"/>
    </font>
    <font>
      <b/>
      <sz val="13"/>
      <name val="Helvetica Neue"/>
      <color rgb="FF312E81"/>
    </font>
  </fonts>
  <fills count="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0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2" fillId="0" borderId="0" xfId="0" applyFont="1" applyNumberFormat="1">
      <alignment horizontal="left"/>
    </xf>
    <xf numFmtId="4" fontId="0" fillId="0" borderId="0" xfId="0" applyNumberFormat="1"/>
    <xf numFmtId="0" fontId="0" fillId="3" borderId="0" xfId="0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 filterMode="false">
    <pageSetUpPr fitToPage="1"/>
  </sheetPr>
  <dimension ref="A1:D20"/>
  <sheetViews>
    <sheetView tabSelected="0" workbookViewId="0">
      <pane ySplit="3" topLeftCell="A4" activePane="bottomLeft" state="frozen"/>
    </sheetView>
  </sheetViews>
  <sheetFormatPr defaultRowHeight="16.5"/>
  <cols>
    <col min="1" max="1" width="26" customWidth="1"/>
    <col min="2" max="2" width="20" customWidth="1"/>
    <col min="3" max="3" width="42" customWidth="1"/>
    <col min="4" max="4" width="14" customWidth="1"/>
  </cols>
  <sheetData>
    <row r="1">
      <c r="A1" t="inlineStr">
        <is>
          <t xml:space="preserve">AI 인플루언서 사업 KPI 운영 시트 v2.1</t>
        </is>
      </c>
      <c r="B1"/>
      <c r="C1"/>
      <c r="D1"/>
    </row>
    <row r="2">
      <c r="A2" t="inlineStr">
        <is>
          <t xml:space="preserve">기간: 2026-09-01 ~ 2027-03-31 · 사용법: 매일 3분, 업로드 직후 KPI_일별에 한 줄 기록</t>
        </is>
      </c>
      <c r="B2"/>
      <c r="C2"/>
      <c r="D2"/>
    </row>
    <row r="3"/>
    <row r="4">
      <c r="A4" t="inlineStr">
        <is>
          <t xml:space="preserve">핵심 지표</t>
        </is>
      </c>
      <c r="B4" t="inlineStr">
        <is>
          <t xml:space="preserve">값</t>
        </is>
      </c>
      <c r="C4" t="inlineStr">
        <is>
          <t xml:space="preserve">설명</t>
        </is>
      </c>
      <c r="D4"/>
    </row>
    <row r="5">
      <c r="A5" t="inlineStr">
        <is>
          <t xml:space="preserve">누적 제작 본수</t>
        </is>
      </c>
      <c r="B5" s="2">
        <f>SUM(KPI_일별!B5:B218)</f>
      </c>
      <c r="C5" t="inlineStr">
        <is>
          <t xml:space="preserve">제작한 총 콘텐츠 수</t>
        </is>
      </c>
      <c r="D5"/>
    </row>
    <row r="6">
      <c r="A6" t="inlineStr">
        <is>
          <t xml:space="preserve">누적 게시 본수</t>
        </is>
      </c>
      <c r="B6" s="2">
        <f>SUM(KPI_일별!C5:C218)+SUM(KPI_일별!D5:E218)</f>
      </c>
      <c r="C6" t="inlineStr">
        <is>
          <t xml:space="preserve">S+T+R 게시 합계(근사)</t>
        </is>
      </c>
      <c r="D6"/>
    </row>
    <row r="7">
      <c r="A7" t="inlineStr">
        <is>
          <t xml:space="preserve">현재 총 팔로워</t>
        </is>
      </c>
      <c r="B7" s="2">
        <f>LOOKUP(2,1/(KPI_일별!I5:I218&lt;&gt;""),KPI_일별!I5:I218)</f>
      </c>
      <c r="C7" t="inlineStr">
        <is>
          <t xml:space="preserve">마지막 기록일 값</t>
        </is>
      </c>
      <c r="D7"/>
    </row>
    <row r="8">
      <c r="A8" t="inlineStr">
        <is>
          <t xml:space="preserve">총 매출(총액)</t>
        </is>
      </c>
      <c r="B8" s="2">
        <f>SUM(재무!C2:C500)</f>
      </c>
      <c r="C8" t="inlineStr">
        <is>
          <t xml:space="preserve">원천징수 전</t>
        </is>
      </c>
      <c r="D8"/>
    </row>
    <row r="9">
      <c r="A9" t="inlineStr">
        <is>
          <t xml:space="preserve">총 실수령</t>
        </is>
      </c>
      <c r="B9" s="2">
        <f>SUM(재무!E2:E500)</f>
      </c>
      <c r="C9" t="inlineStr">
        <is>
          <t xml:space="preserve">3.3% 차감 후(제휴/광고는 별도)</t>
        </is>
      </c>
      <c r="D9"/>
    </row>
    <row r="10">
      <c r="A10" t="inlineStr">
        <is>
          <t xml:space="preserve">크몽/서비스 매출</t>
        </is>
      </c>
      <c r="B10" s="2">
        <f>SUMIF(재무!B2:B500,"크몽*",재무!C2:C500)</f>
      </c>
      <c r="C10" t="inlineStr">
        <is>
          <t xml:space="preserve">구분에 크몽으로 시작 입력</t>
        </is>
      </c>
      <c r="D10"/>
    </row>
    <row r="11">
      <c r="A11" t="inlineStr">
        <is>
          <t xml:space="preserve">디지털상품 매출</t>
        </is>
      </c>
      <c r="B11" s="2">
        <f>SUMIF(재무!B2:B500,"상품*",재무!C2:C500)</f>
      </c>
      <c r="C11" t="inlineStr">
        <is>
          <t xml:space="preserve">구분에 상품으로 시작 입력</t>
        </is>
      </c>
      <c r="D11"/>
    </row>
    <row r="12">
      <c r="A12" t="inlineStr">
        <is>
          <t xml:space="preserve">스폰서 매출</t>
        </is>
      </c>
      <c r="B12" s="2">
        <f>SUMIF(재무!B2:B500,"스폰서*",재무!C2:C500)</f>
      </c>
      <c r="C12"/>
      <c r="D12"/>
    </row>
    <row r="13">
      <c r="A13" t="inlineStr">
        <is>
          <t xml:space="preserve">채널광고 매출</t>
        </is>
      </c>
      <c r="B13" s="2">
        <f>SUMIF(재무!B2:B500,"채널*",재무!C2:C500)</f>
      </c>
      <c r="C13"/>
      <c r="D13"/>
    </row>
    <row r="14">
      <c r="A14" t="inlineStr">
        <is>
          <t xml:space="preserve">제휴 매출</t>
        </is>
      </c>
      <c r="B14" s="2">
        <f>SUMIF(재무!B2:B500,"제휴*",재무!C2:C500)</f>
      </c>
      <c r="C14"/>
      <c r="D14"/>
    </row>
    <row r="15">
      <c r="A15" t="inlineStr">
        <is>
          <t xml:space="preserve">툴비 지출 누적</t>
        </is>
      </c>
      <c r="B15" s="2">
        <f>SUM(툴비!C2:C200)</f>
      </c>
      <c r="C15"/>
      <c r="D15"/>
    </row>
    <row r="16">
      <c r="A16" t="inlineStr">
        <is>
          <t xml:space="preserve">순현금흐름</t>
        </is>
      </c>
      <c r="B16" s="2">
        <f>SUM(재무!E2:E500)-SUM(툴비!C2:C200)</f>
      </c>
      <c r="C16" t="inlineStr">
        <is>
          <t xml:space="preserve">실수령-툴비</t>
        </is>
      </c>
      <c r="D16"/>
    </row>
    <row r="17"/>
    <row r="18">
      <c r="A18" t="inlineStr">
        <is>
          <t xml:space="preserve">목표 추적(보수 200만)</t>
        </is>
      </c>
      <c r="B18" s="2">
        <f>IF(SUM(재무!C2:C500)&gt;=2000000,"달성","진행 "+TEXT(SUM(재무!C2:C500)/2000000,"0.0%"))</f>
      </c>
      <c r="C18"/>
      <c r="D18"/>
    </row>
    <row r="19">
      <c r="A19" t="inlineStr">
        <is>
          <t xml:space="preserve">목표 추적(현실 1,000만)</t>
        </is>
      </c>
      <c r="B19" s="2">
        <f>IF(SUM(재무!C2:C500)&gt;=10000000,"달성","진행 "+TEXT(SUM(재무!C2:C500)/10000000,"0.0%"))</f>
      </c>
      <c r="C19"/>
      <c r="D19"/>
    </row>
    <row r="20">
      <c r="A20" t="inlineStr">
        <is>
          <t xml:space="preserve">목표 추적(도전 3,000만)</t>
        </is>
      </c>
      <c r="B20" s="2">
        <f>IF(SUM(재무!C2:C500)&gt;=30000000,"달성","진행 "+TEXT(SUM(재무!C2:C500)/30000000,"0.0%"))</f>
      </c>
      <c r="C20"/>
      <c r="D20"/>
    </row>
  </sheetData>
</worksheet>
</file>

<file path=xl/worksheets/sheet2.xml><?xml version="1.0" encoding="utf-8"?>
<worksheet xmlns="http://schemas.openxmlformats.org/spreadsheetml/2006/main">
  <sheetPr filterMode="false">
    <pageSetUpPr fitToPage="1"/>
  </sheetPr>
  <dimension ref="A1:O216"/>
  <sheetViews>
    <sheetView tabSelected="0" workbookViewId="0">
      <pane ySplit="4" topLeftCell="A5" activePane="bottomLeft" state="frozen"/>
    </sheetView>
  </sheetViews>
  <sheetFormatPr defaultRowHeight="16.5"/>
  <cols>
    <col min="1" max="1" width="11" customWidth="1"/>
    <col min="2" max="2" width="9" customWidth="1"/>
    <col min="3" max="3" width="9" customWidth="1"/>
    <col min="4" max="4" width="9" customWidth="1"/>
    <col min="5" max="5" width="9" customWidth="1"/>
    <col min="6" max="6" width="11" customWidth="1"/>
    <col min="7" max="7" width="10" customWidth="1"/>
    <col min="8" max="8" width="11" customWidth="1"/>
    <col min="9" max="9" width="10" customWidth="1"/>
    <col min="10" max="10" width="10" customWidth="1"/>
    <col min="11" max="11" width="10" customWidth="1"/>
    <col min="12" max="12" width="10" customWidth="1"/>
    <col min="13" max="13" width="40" customWidth="1"/>
    <col min="14" max="14" width="10" customWidth="1"/>
    <col min="15" max="15" width="10" customWidth="1"/>
  </cols>
  <sheetData>
    <row r="1">
      <c r="A1" t="inlineStr">
        <is>
          <t xml:space="preserve">일일 KPI 기록 (업로드 직후 3분) - 기록 없는 액션은 폐기(P2 원칙)</t>
        </is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inlineStr">
        <is>
          <t xml:space="preserve">완주율=플랫폼 스튜디오 평균 시청 지표 / 컨디션 2 이하 3일 연속 시 세이프가드 발동</t>
        </is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/>
    <row r="4">
      <c r="A4" s="1" t="inlineStr">
        <is>
          <t xml:space="preserve">날짜</t>
        </is>
      </c>
      <c r="B4" s="1" t="inlineStr">
        <is>
          <t xml:space="preserve">제작본수</t>
        </is>
      </c>
      <c r="C4" s="1" t="inlineStr">
        <is>
          <t xml:space="preserve">게시 Shorts</t>
        </is>
      </c>
      <c r="D4" s="1" t="inlineStr">
        <is>
          <t xml:space="preserve">게시 TikTok</t>
        </is>
      </c>
      <c r="E4" s="1" t="inlineStr">
        <is>
          <t xml:space="preserve">게시 Reels</t>
        </is>
      </c>
      <c r="F4" s="1" t="inlineStr">
        <is>
          <t xml:space="preserve">24h 총조회</t>
        </is>
      </c>
      <c r="G4" s="1" t="inlineStr">
        <is>
          <t xml:space="preserve">완주율(%)</t>
        </is>
      </c>
      <c r="H4" s="1" t="inlineStr">
        <is>
          <t xml:space="preserve">팔로우전환(%)</t>
        </is>
      </c>
      <c r="I4" s="1" t="inlineStr">
        <is>
          <t xml:space="preserve">신규팔로워</t>
        </is>
      </c>
      <c r="J4" s="1" t="inlineStr">
        <is>
          <t xml:space="preserve">총팔로워</t>
        </is>
      </c>
      <c r="K4" s="1" t="inlineStr">
        <is>
          <t xml:space="preserve">최고본ID</t>
        </is>
      </c>
      <c r="L4" s="1" t="inlineStr">
        <is>
          <t xml:space="preserve">최저본ID</t>
        </is>
      </c>
      <c r="M4" s="1" t="inlineStr">
        <is>
          <t xml:space="preserve">메모(1줄)</t>
        </is>
      </c>
      <c r="N4" s="1" t="inlineStr">
        <is>
          <t xml:space="preserve">소요시간(h)</t>
        </is>
      </c>
      <c r="O4" s="1" t="inlineStr">
        <is>
          <t xml:space="preserve">컨디션(1-5)</t>
        </is>
      </c>
    </row>
    <row r="5">
      <c r="A5" t="inlineStr">
        <is>
          <t xml:space="preserve">2026-09-01</t>
        </is>
      </c>
      <c r="B5"/>
      <c r="C5"/>
      <c r="D5"/>
      <c r="E5"/>
      <c r="F5"/>
      <c r="G5"/>
      <c r="H5"/>
      <c r="I5"/>
      <c r="J5"/>
      <c r="K5"/>
      <c r="L5"/>
      <c r="M5"/>
      <c r="N5"/>
      <c r="O5"/>
    </row>
    <row r="6">
      <c r="A6" t="inlineStr">
        <is>
          <t xml:space="preserve">2026-09-02</t>
        </is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 t="inlineStr">
        <is>
          <t xml:space="preserve">2026-09-03</t>
        </is>
      </c>
      <c r="B7"/>
      <c r="C7"/>
      <c r="D7"/>
      <c r="E7"/>
      <c r="F7"/>
      <c r="G7"/>
      <c r="H7"/>
      <c r="I7"/>
      <c r="J7"/>
      <c r="K7"/>
      <c r="L7"/>
      <c r="M7"/>
      <c r="N7"/>
      <c r="O7"/>
    </row>
    <row r="8">
      <c r="A8" t="inlineStr">
        <is>
          <t xml:space="preserve">2026-09-04</t>
        </is>
      </c>
      <c r="B8"/>
      <c r="C8"/>
      <c r="D8"/>
      <c r="E8"/>
      <c r="F8"/>
      <c r="G8"/>
      <c r="H8"/>
      <c r="I8"/>
      <c r="J8"/>
      <c r="K8"/>
      <c r="L8"/>
      <c r="M8"/>
      <c r="N8"/>
      <c r="O8"/>
    </row>
    <row r="9">
      <c r="A9" t="inlineStr">
        <is>
          <t xml:space="preserve">2026-09-05</t>
        </is>
      </c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 t="inlineStr">
        <is>
          <t xml:space="preserve">2026-09-06</t>
        </is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>
      <c r="A11" t="inlineStr">
        <is>
          <t xml:space="preserve">2026-09-07</t>
        </is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>
      <c r="A12" t="inlineStr">
        <is>
          <t xml:space="preserve">2026-09-08</t>
        </is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 t="inlineStr">
        <is>
          <t xml:space="preserve">2026-09-09</t>
        </is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>
      <c r="A14" t="inlineStr">
        <is>
          <t xml:space="preserve">2026-09-10</t>
        </is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>
      <c r="A15" t="inlineStr">
        <is>
          <t xml:space="preserve">2026-09-11</t>
        </is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>
      <c r="A16" t="inlineStr">
        <is>
          <t xml:space="preserve">2026-09-12</t>
        </is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>
      <c r="A17" t="inlineStr">
        <is>
          <t xml:space="preserve">2026-09-13</t>
        </is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>
      <c r="A18" t="inlineStr">
        <is>
          <t xml:space="preserve">2026-09-14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>
      <c r="A19" t="inlineStr">
        <is>
          <t xml:space="preserve">2026-09-15</t>
        </is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>
      <c r="A20" t="inlineStr">
        <is>
          <t xml:space="preserve">2026-09-16</t>
        </is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>
      <c r="A21" t="inlineStr">
        <is>
          <t xml:space="preserve">2026-09-17</t>
        </is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>
      <c r="A22" t="inlineStr">
        <is>
          <t xml:space="preserve">2026-09-18</t>
        </is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>
      <c r="A23" t="inlineStr">
        <is>
          <t xml:space="preserve">2026-09-19</t>
        </is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>
      <c r="A24" t="inlineStr">
        <is>
          <t xml:space="preserve">2026-09-20</t>
        </is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>
      <c r="A25" t="inlineStr">
        <is>
          <t xml:space="preserve">2026-09-21</t>
        </is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>
      <c r="A26" t="inlineStr">
        <is>
          <t xml:space="preserve">2026-09-22</t>
        </is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>
      <c r="A27" t="inlineStr">
        <is>
          <t xml:space="preserve">2026-09-23</t>
        </is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>
      <c r="A28" t="inlineStr">
        <is>
          <t xml:space="preserve">2026-09-24</t>
        </is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>
      <c r="A29" t="inlineStr">
        <is>
          <t xml:space="preserve">2026-09-25</t>
        </is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>
      <c r="A30" t="inlineStr">
        <is>
          <t xml:space="preserve">2026-09-26</t>
        </is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>
      <c r="A31" t="inlineStr">
        <is>
          <t xml:space="preserve">2026-09-27</t>
        </is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>
      <c r="A32" t="inlineStr">
        <is>
          <t xml:space="preserve">2026-09-28</t>
        </is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>
      <c r="A33" t="inlineStr">
        <is>
          <t xml:space="preserve">2026-09-29</t>
        </is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>
      <c r="A34" t="inlineStr">
        <is>
          <t xml:space="preserve">2026-09-30</t>
        </is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>
      <c r="A35" t="inlineStr">
        <is>
          <t xml:space="preserve">2026-10-01</t>
        </is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>
      <c r="A36" t="inlineStr">
        <is>
          <t xml:space="preserve">2026-10-02</t>
        </is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>
      <c r="A37" t="inlineStr">
        <is>
          <t xml:space="preserve">2026-10-03</t>
        </is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>
      <c r="A38" t="inlineStr">
        <is>
          <t xml:space="preserve">2026-10-04</t>
        </is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>
      <c r="A39" t="inlineStr">
        <is>
          <t xml:space="preserve">2026-10-05</t>
        </is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>
      <c r="A40" t="inlineStr">
        <is>
          <t xml:space="preserve">2026-10-06</t>
        </is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>
      <c r="A41" t="inlineStr">
        <is>
          <t xml:space="preserve">2026-10-07</t>
        </is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>
      <c r="A42" t="inlineStr">
        <is>
          <t xml:space="preserve">2026-10-08</t>
        </is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>
      <c r="A43" t="inlineStr">
        <is>
          <t xml:space="preserve">2026-10-09</t>
        </is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>
      <c r="A44" t="inlineStr">
        <is>
          <t xml:space="preserve">2026-10-10</t>
        </is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>
      <c r="A45" t="inlineStr">
        <is>
          <t xml:space="preserve">2026-10-11</t>
        </is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>
      <c r="A46" t="inlineStr">
        <is>
          <t xml:space="preserve">2026-10-12</t>
        </is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>
      <c r="A47" t="inlineStr">
        <is>
          <t xml:space="preserve">2026-10-13</t>
        </is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>
      <c r="A48" t="inlineStr">
        <is>
          <t xml:space="preserve">2026-10-14</t>
        </is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>
      <c r="A49" t="inlineStr">
        <is>
          <t xml:space="preserve">2026-10-15</t>
        </is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>
      <c r="A50" t="inlineStr">
        <is>
          <t xml:space="preserve">2026-10-16</t>
        </is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>
      <c r="A51" t="inlineStr">
        <is>
          <t xml:space="preserve">2026-10-17</t>
        </is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>
      <c r="A52" t="inlineStr">
        <is>
          <t xml:space="preserve">2026-10-18</t>
        </is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>
      <c r="A53" t="inlineStr">
        <is>
          <t xml:space="preserve">2026-10-19</t>
        </is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>
      <c r="A54" t="inlineStr">
        <is>
          <t xml:space="preserve">2026-10-20</t>
        </is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>
      <c r="A55" t="inlineStr">
        <is>
          <t xml:space="preserve">2026-10-21</t>
        </is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>
      <c r="A56" t="inlineStr">
        <is>
          <t xml:space="preserve">2026-10-22</t>
        </is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>
      <c r="A57" t="inlineStr">
        <is>
          <t xml:space="preserve">2026-10-23</t>
        </is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>
      <c r="A58" t="inlineStr">
        <is>
          <t xml:space="preserve">2026-10-24</t>
        </is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>
      <c r="A59" t="inlineStr">
        <is>
          <t xml:space="preserve">2026-10-25</t>
        </is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>
      <c r="A60" t="inlineStr">
        <is>
          <t xml:space="preserve">2026-10-26</t>
        </is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>
      <c r="A61" t="inlineStr">
        <is>
          <t xml:space="preserve">2026-10-27</t>
        </is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>
      <c r="A62" t="inlineStr">
        <is>
          <t xml:space="preserve">2026-10-28</t>
        </is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>
      <c r="A63" t="inlineStr">
        <is>
          <t xml:space="preserve">2026-10-29</t>
        </is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>
      <c r="A64" t="inlineStr">
        <is>
          <t xml:space="preserve">2026-10-30</t>
        </is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>
      <c r="A65" t="inlineStr">
        <is>
          <t xml:space="preserve">2026-10-31</t>
        </is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>
      <c r="A66" t="inlineStr">
        <is>
          <t xml:space="preserve">2026-11-01</t>
        </is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>
      <c r="A67" t="inlineStr">
        <is>
          <t xml:space="preserve">2026-11-02</t>
        </is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>
      <c r="A68" t="inlineStr">
        <is>
          <t xml:space="preserve">2026-11-03</t>
        </is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>
      <c r="A69" t="inlineStr">
        <is>
          <t xml:space="preserve">2026-11-04</t>
        </is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>
      <c r="A70" t="inlineStr">
        <is>
          <t xml:space="preserve">2026-11-05</t>
        </is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>
      <c r="A71" t="inlineStr">
        <is>
          <t xml:space="preserve">2026-11-06</t>
        </is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>
      <c r="A72" t="inlineStr">
        <is>
          <t xml:space="preserve">2026-11-07</t>
        </is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>
      <c r="A73" t="inlineStr">
        <is>
          <t xml:space="preserve">2026-11-08</t>
        </is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>
      <c r="A74" t="inlineStr">
        <is>
          <t xml:space="preserve">2026-11-09</t>
        </is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>
      <c r="A75" t="inlineStr">
        <is>
          <t xml:space="preserve">2026-11-10</t>
        </is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>
      <c r="A76" t="inlineStr">
        <is>
          <t xml:space="preserve">2026-11-11</t>
        </is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>
      <c r="A77" t="inlineStr">
        <is>
          <t xml:space="preserve">2026-11-12</t>
        </is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>
      <c r="A78" t="inlineStr">
        <is>
          <t xml:space="preserve">2026-11-13</t>
        </is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>
      <c r="A79" t="inlineStr">
        <is>
          <t xml:space="preserve">2026-11-14</t>
        </is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>
      <c r="A80" t="inlineStr">
        <is>
          <t xml:space="preserve">2026-11-15</t>
        </is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>
      <c r="A81" t="inlineStr">
        <is>
          <t xml:space="preserve">2026-11-16</t>
        </is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>
      <c r="A82" t="inlineStr">
        <is>
          <t xml:space="preserve">2026-11-17</t>
        </is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>
      <c r="A83" t="inlineStr">
        <is>
          <t xml:space="preserve">2026-11-18</t>
        </is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>
      <c r="A84" t="inlineStr">
        <is>
          <t xml:space="preserve">2026-11-19</t>
        </is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>
      <c r="A85" t="inlineStr">
        <is>
          <t xml:space="preserve">2026-11-20</t>
        </is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>
      <c r="A86" t="inlineStr">
        <is>
          <t xml:space="preserve">2026-11-21</t>
        </is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>
      <c r="A87" t="inlineStr">
        <is>
          <t xml:space="preserve">2026-11-22</t>
        </is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>
      <c r="A88" t="inlineStr">
        <is>
          <t xml:space="preserve">2026-11-23</t>
        </is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>
      <c r="A89" t="inlineStr">
        <is>
          <t xml:space="preserve">2026-11-24</t>
        </is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>
      <c r="A90" t="inlineStr">
        <is>
          <t xml:space="preserve">2026-11-25</t>
        </is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>
      <c r="A91" t="inlineStr">
        <is>
          <t xml:space="preserve">2026-11-26</t>
        </is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>
      <c r="A92" t="inlineStr">
        <is>
          <t xml:space="preserve">2026-11-27</t>
        </is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>
      <c r="A93" t="inlineStr">
        <is>
          <t xml:space="preserve">2026-11-28</t>
        </is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>
      <c r="A94" t="inlineStr">
        <is>
          <t xml:space="preserve">2026-11-29</t>
        </is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>
      <c r="A95" t="inlineStr">
        <is>
          <t xml:space="preserve">2026-11-30</t>
        </is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>
      <c r="A96" t="inlineStr">
        <is>
          <t xml:space="preserve">2026-12-01</t>
        </is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>
      <c r="A97" t="inlineStr">
        <is>
          <t xml:space="preserve">2026-12-02</t>
        </is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>
      <c r="A98" t="inlineStr">
        <is>
          <t xml:space="preserve">2026-12-03</t>
        </is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>
      <c r="A99" t="inlineStr">
        <is>
          <t xml:space="preserve">2026-12-04</t>
        </is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>
      <c r="A100" t="inlineStr">
        <is>
          <t xml:space="preserve">2026-12-05</t>
        </is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>
      <c r="A101" t="inlineStr">
        <is>
          <t xml:space="preserve">2026-12-06</t>
        </is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>
      <c r="A102" t="inlineStr">
        <is>
          <t xml:space="preserve">2026-12-07</t>
        </is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>
      <c r="A103" t="inlineStr">
        <is>
          <t xml:space="preserve">2026-12-08</t>
        </is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>
      <c r="A104" t="inlineStr">
        <is>
          <t xml:space="preserve">2026-12-09</t>
        </is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>
      <c r="A105" t="inlineStr">
        <is>
          <t xml:space="preserve">2026-12-10</t>
        </is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>
      <c r="A106" t="inlineStr">
        <is>
          <t xml:space="preserve">2026-12-11</t>
        </is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>
      <c r="A107" t="inlineStr">
        <is>
          <t xml:space="preserve">2026-12-12</t>
        </is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>
      <c r="A108" t="inlineStr">
        <is>
          <t xml:space="preserve">2026-12-13</t>
        </is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>
      <c r="A109" t="inlineStr">
        <is>
          <t xml:space="preserve">2026-12-14</t>
        </is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>
      <c r="A110" t="inlineStr">
        <is>
          <t xml:space="preserve">2026-12-15</t>
        </is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>
      <c r="A111" t="inlineStr">
        <is>
          <t xml:space="preserve">2026-12-16</t>
        </is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>
      <c r="A112" t="inlineStr">
        <is>
          <t xml:space="preserve">2026-12-17</t>
        </is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>
      <c r="A113" t="inlineStr">
        <is>
          <t xml:space="preserve">2026-12-18</t>
        </is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>
      <c r="A114" t="inlineStr">
        <is>
          <t xml:space="preserve">2026-12-19</t>
        </is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>
      <c r="A115" t="inlineStr">
        <is>
          <t xml:space="preserve">2026-12-20</t>
        </is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>
      <c r="A116" t="inlineStr">
        <is>
          <t xml:space="preserve">2026-12-21</t>
        </is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>
      <c r="A117" t="inlineStr">
        <is>
          <t xml:space="preserve">2026-12-22</t>
        </is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>
      <c r="A118" t="inlineStr">
        <is>
          <t xml:space="preserve">2026-12-23</t>
        </is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>
      <c r="A119" t="inlineStr">
        <is>
          <t xml:space="preserve">2026-12-24</t>
        </is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>
      <c r="A120" t="inlineStr">
        <is>
          <t xml:space="preserve">2026-12-25</t>
        </is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>
      <c r="A121" t="inlineStr">
        <is>
          <t xml:space="preserve">2026-12-26</t>
        </is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>
      <c r="A122" t="inlineStr">
        <is>
          <t xml:space="preserve">2026-12-27</t>
        </is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>
      <c r="A123" t="inlineStr">
        <is>
          <t xml:space="preserve">2026-12-28</t>
        </is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>
      <c r="A124" t="inlineStr">
        <is>
          <t xml:space="preserve">2026-12-29</t>
        </is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>
      <c r="A125" t="inlineStr">
        <is>
          <t xml:space="preserve">2026-12-30</t>
        </is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>
      <c r="A126" t="inlineStr">
        <is>
          <t xml:space="preserve">2026-12-31</t>
        </is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>
      <c r="A127" t="inlineStr">
        <is>
          <t xml:space="preserve">2027-01-01</t>
        </is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>
      <c r="A128" t="inlineStr">
        <is>
          <t xml:space="preserve">2027-01-02</t>
        </is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>
      <c r="A129" t="inlineStr">
        <is>
          <t xml:space="preserve">2027-01-03</t>
        </is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>
      <c r="A130" t="inlineStr">
        <is>
          <t xml:space="preserve">2027-01-04</t>
        </is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>
      <c r="A131" t="inlineStr">
        <is>
          <t xml:space="preserve">2027-01-05</t>
        </is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>
      <c r="A132" t="inlineStr">
        <is>
          <t xml:space="preserve">2027-01-06</t>
        </is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>
      <c r="A133" t="inlineStr">
        <is>
          <t xml:space="preserve">2027-01-07</t>
        </is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>
      <c r="A134" t="inlineStr">
        <is>
          <t xml:space="preserve">2027-01-08</t>
        </is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>
      <c r="A135" t="inlineStr">
        <is>
          <t xml:space="preserve">2027-01-09</t>
        </is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>
      <c r="A136" t="inlineStr">
        <is>
          <t xml:space="preserve">2027-01-10</t>
        </is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>
      <c r="A137" t="inlineStr">
        <is>
          <t xml:space="preserve">2027-01-11</t>
        </is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>
      <c r="A138" t="inlineStr">
        <is>
          <t xml:space="preserve">2027-01-12</t>
        </is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>
      <c r="A139" t="inlineStr">
        <is>
          <t xml:space="preserve">2027-01-13</t>
        </is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>
      <c r="A140" t="inlineStr">
        <is>
          <t xml:space="preserve">2027-01-14</t>
        </is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>
      <c r="A141" t="inlineStr">
        <is>
          <t xml:space="preserve">2027-01-15</t>
        </is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>
      <c r="A142" t="inlineStr">
        <is>
          <t xml:space="preserve">2027-01-16</t>
        </is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>
      <c r="A143" t="inlineStr">
        <is>
          <t xml:space="preserve">2027-01-17</t>
        </is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>
      <c r="A144" t="inlineStr">
        <is>
          <t xml:space="preserve">2027-01-18</t>
        </is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>
      <c r="A145" t="inlineStr">
        <is>
          <t xml:space="preserve">2027-01-19</t>
        </is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>
      <c r="A146" t="inlineStr">
        <is>
          <t xml:space="preserve">2027-01-20</t>
        </is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>
      <c r="A147" t="inlineStr">
        <is>
          <t xml:space="preserve">2027-01-21</t>
        </is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>
      <c r="A148" t="inlineStr">
        <is>
          <t xml:space="preserve">2027-01-22</t>
        </is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>
      <c r="A149" t="inlineStr">
        <is>
          <t xml:space="preserve">2027-01-23</t>
        </is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>
      <c r="A150" t="inlineStr">
        <is>
          <t xml:space="preserve">2027-01-24</t>
        </is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>
      <c r="A151" t="inlineStr">
        <is>
          <t xml:space="preserve">2027-01-25</t>
        </is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>
      <c r="A152" t="inlineStr">
        <is>
          <t xml:space="preserve">2027-01-26</t>
        </is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>
      <c r="A153" t="inlineStr">
        <is>
          <t xml:space="preserve">2027-01-27</t>
        </is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>
      <c r="A154" t="inlineStr">
        <is>
          <t xml:space="preserve">2027-01-28</t>
        </is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>
      <c r="A155" t="inlineStr">
        <is>
          <t xml:space="preserve">2027-01-29</t>
        </is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>
      <c r="A156" t="inlineStr">
        <is>
          <t xml:space="preserve">2027-01-30</t>
        </is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>
      <c r="A157" t="inlineStr">
        <is>
          <t xml:space="preserve">2027-01-31</t>
        </is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>
      <c r="A158" t="inlineStr">
        <is>
          <t xml:space="preserve">2027-02-01</t>
        </is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>
      <c r="A159" t="inlineStr">
        <is>
          <t xml:space="preserve">2027-02-02</t>
        </is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>
      <c r="A160" t="inlineStr">
        <is>
          <t xml:space="preserve">2027-02-03</t>
        </is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>
      <c r="A161" t="inlineStr">
        <is>
          <t xml:space="preserve">2027-02-04</t>
        </is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>
      <c r="A162" t="inlineStr">
        <is>
          <t xml:space="preserve">2027-02-05</t>
        </is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>
      <c r="A163" t="inlineStr">
        <is>
          <t xml:space="preserve">2027-02-06</t>
        </is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>
      <c r="A164" t="inlineStr">
        <is>
          <t xml:space="preserve">2027-02-07</t>
        </is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>
      <c r="A165" t="inlineStr">
        <is>
          <t xml:space="preserve">2027-02-08</t>
        </is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>
      <c r="A166" t="inlineStr">
        <is>
          <t xml:space="preserve">2027-02-09</t>
        </is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>
      <c r="A167" t="inlineStr">
        <is>
          <t xml:space="preserve">2027-02-10</t>
        </is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>
      <c r="A168" t="inlineStr">
        <is>
          <t xml:space="preserve">2027-02-11</t>
        </is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>
      <c r="A169" t="inlineStr">
        <is>
          <t xml:space="preserve">2027-02-12</t>
        </is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>
      <c r="A170" t="inlineStr">
        <is>
          <t xml:space="preserve">2027-02-13</t>
        </is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>
      <c r="A171" t="inlineStr">
        <is>
          <t xml:space="preserve">2027-02-14</t>
        </is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>
      <c r="A172" t="inlineStr">
        <is>
          <t xml:space="preserve">2027-02-15</t>
        </is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>
      <c r="A173" t="inlineStr">
        <is>
          <t xml:space="preserve">2027-02-16</t>
        </is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>
      <c r="A174" t="inlineStr">
        <is>
          <t xml:space="preserve">2027-02-17</t>
        </is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>
      <c r="A175" t="inlineStr">
        <is>
          <t xml:space="preserve">2027-02-18</t>
        </is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>
      <c r="A176" t="inlineStr">
        <is>
          <t xml:space="preserve">2027-02-19</t>
        </is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>
      <c r="A177" t="inlineStr">
        <is>
          <t xml:space="preserve">2027-02-20</t>
        </is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>
      <c r="A178" t="inlineStr">
        <is>
          <t xml:space="preserve">2027-02-21</t>
        </is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>
      <c r="A179" t="inlineStr">
        <is>
          <t xml:space="preserve">2027-02-22</t>
        </is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>
      <c r="A180" t="inlineStr">
        <is>
          <t xml:space="preserve">2027-02-23</t>
        </is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>
      <c r="A181" t="inlineStr">
        <is>
          <t xml:space="preserve">2027-02-24</t>
        </is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>
      <c r="A182" t="inlineStr">
        <is>
          <t xml:space="preserve">2027-02-25</t>
        </is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>
      <c r="A183" t="inlineStr">
        <is>
          <t xml:space="preserve">2027-02-26</t>
        </is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>
      <c r="A184" t="inlineStr">
        <is>
          <t xml:space="preserve">2027-02-27</t>
        </is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>
      <c r="A185" t="inlineStr">
        <is>
          <t xml:space="preserve">2027-02-28</t>
        </is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>
      <c r="A186" t="inlineStr">
        <is>
          <t xml:space="preserve">2027-03-01</t>
        </is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>
      <c r="A187" t="inlineStr">
        <is>
          <t xml:space="preserve">2027-03-02</t>
        </is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>
      <c r="A188" t="inlineStr">
        <is>
          <t xml:space="preserve">2027-03-03</t>
        </is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>
      <c r="A189" t="inlineStr">
        <is>
          <t xml:space="preserve">2027-03-04</t>
        </is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>
      <c r="A190" t="inlineStr">
        <is>
          <t xml:space="preserve">2027-03-05</t>
        </is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>
      <c r="A191" t="inlineStr">
        <is>
          <t xml:space="preserve">2027-03-06</t>
        </is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>
      <c r="A192" t="inlineStr">
        <is>
          <t xml:space="preserve">2027-03-07</t>
        </is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>
      <c r="A193" t="inlineStr">
        <is>
          <t xml:space="preserve">2027-03-08</t>
        </is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>
      <c r="A194" t="inlineStr">
        <is>
          <t xml:space="preserve">2027-03-09</t>
        </is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>
      <c r="A195" t="inlineStr">
        <is>
          <t xml:space="preserve">2027-03-10</t>
        </is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>
      <c r="A196" t="inlineStr">
        <is>
          <t xml:space="preserve">2027-03-11</t>
        </is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>
      <c r="A197" t="inlineStr">
        <is>
          <t xml:space="preserve">2027-03-12</t>
        </is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>
      <c r="A198" t="inlineStr">
        <is>
          <t xml:space="preserve">2027-03-13</t>
        </is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>
      <c r="A199" t="inlineStr">
        <is>
          <t xml:space="preserve">2027-03-14</t>
        </is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>
      <c r="A200" t="inlineStr">
        <is>
          <t xml:space="preserve">2027-03-15</t>
        </is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>
      <c r="A201" t="inlineStr">
        <is>
          <t xml:space="preserve">2027-03-16</t>
        </is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>
      <c r="A202" t="inlineStr">
        <is>
          <t xml:space="preserve">2027-03-17</t>
        </is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>
      <c r="A203" t="inlineStr">
        <is>
          <t xml:space="preserve">2027-03-18</t>
        </is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>
      <c r="A204" t="inlineStr">
        <is>
          <t xml:space="preserve">2027-03-19</t>
        </is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>
      <c r="A205" t="inlineStr">
        <is>
          <t xml:space="preserve">2027-03-20</t>
        </is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>
      <c r="A206" t="inlineStr">
        <is>
          <t xml:space="preserve">2027-03-21</t>
        </is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>
      <c r="A207" t="inlineStr">
        <is>
          <t xml:space="preserve">2027-03-22</t>
        </is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>
      <c r="A208" t="inlineStr">
        <is>
          <t xml:space="preserve">2027-03-23</t>
        </is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>
      <c r="A209" t="inlineStr">
        <is>
          <t xml:space="preserve">2027-03-24</t>
        </is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>
      <c r="A210" t="inlineStr">
        <is>
          <t xml:space="preserve">2027-03-25</t>
        </is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>
      <c r="A211" t="inlineStr">
        <is>
          <t xml:space="preserve">2027-03-26</t>
        </is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>
      <c r="A212" t="inlineStr">
        <is>
          <t xml:space="preserve">2027-03-27</t>
        </is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>
      <c r="A213" t="inlineStr">
        <is>
          <t xml:space="preserve">2027-03-28</t>
        </is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>
      <c r="A214" t="inlineStr">
        <is>
          <t xml:space="preserve">2027-03-29</t>
        </is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>
      <c r="A215" t="inlineStr">
        <is>
          <t xml:space="preserve">2027-03-30</t>
        </is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>
      <c r="A216" t="inlineStr">
        <is>
          <t xml:space="preserve">2027-03-31</t>
        </is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</sheetData>
</worksheet>
</file>

<file path=xl/worksheets/sheet3.xml><?xml version="1.0" encoding="utf-8"?>
<worksheet xmlns="http://schemas.openxmlformats.org/spreadsheetml/2006/main">
  <sheetPr filterMode="false">
    <pageSetUpPr fitToPage="1"/>
  </sheetPr>
  <dimension ref="A1:H34"/>
  <sheetViews>
    <sheetView tabSelected="0" workbookViewId="0">
      <pane ySplit="3" topLeftCell="A4" activePane="bottomLeft" state="frozen"/>
    </sheetView>
  </sheetViews>
  <sheetFormatPr defaultRowHeight="16.5"/>
  <cols>
    <col min="1" max="1" width="11" customWidth="1"/>
    <col min="2" max="2" width="10" customWidth="1"/>
    <col min="3" max="3" width="36" customWidth="1"/>
    <col min="4" max="4" width="14" customWidth="1"/>
    <col min="5" max="5" width="9" customWidth="1"/>
    <col min="6" max="6" width="24" customWidth="1"/>
    <col min="7" max="7" width="11" customWidth="1"/>
    <col min="8" max="8" width="26" customWidth="1"/>
  </cols>
  <sheetData>
    <row r="1">
      <c r="A1" t="inlineStr">
        <is>
          <t xml:space="preserve">게시 큐 (Make A1 자동화 연동 대상 - 매일 22:00 읽어감)</t>
        </is>
      </c>
    </row>
    <row r="2"/>
    <row r="3">
      <c r="A3" s="1" t="inlineStr">
        <is>
          <t xml:space="preserve">예약일</t>
        </is>
      </c>
      <c r="B3" s="1" t="inlineStr">
        <is>
          <t xml:space="preserve">플랫폼</t>
        </is>
      </c>
      <c r="C3" s="1" t="inlineStr">
        <is>
          <t xml:space="preserve">제목</t>
        </is>
      </c>
      <c r="D3" s="1" t="inlineStr">
        <is>
          <t xml:space="preserve">훅유형(Q/S/R/M/C/F/B/T/P/E)</t>
        </is>
      </c>
      <c r="E3" s="1" t="inlineStr">
        <is>
          <t xml:space="preserve">예약시각</t>
        </is>
      </c>
      <c r="F3" s="1" t="inlineStr">
        <is>
          <t xml:space="preserve">링크</t>
        </is>
      </c>
      <c r="G3" s="1" t="inlineStr">
        <is>
          <t xml:space="preserve">상태(예약/게시됨)</t>
        </is>
      </c>
      <c r="H3" s="1" t="inlineStr">
        <is>
          <t xml:space="preserve">비고</t>
        </is>
      </c>
    </row>
    <row r="4">
      <c r="A4" t="inlineStr">
        <is>
          <t xml:space="preserve">2026-09-10 예시</t>
        </is>
      </c>
      <c r="B4" t="inlineStr">
        <is>
          <t xml:space="preserve">TikTok</t>
        </is>
      </c>
      <c r="C4" t="inlineStr">
        <is>
          <t xml:space="preserve">예: 이거 아직도 이렇게 해? 30초 만에 끝내는 법</t>
        </is>
      </c>
      <c r="D4" t="inlineStr">
        <is>
          <t xml:space="preserve">Q</t>
        </is>
      </c>
      <c r="E4" t="inlineStr">
        <is>
          <t xml:space="preserve">21:00</t>
        </is>
      </c>
      <c r="F4"/>
      <c r="G4" t="inlineStr">
        <is>
          <t xml:space="preserve">예약</t>
        </is>
      </c>
      <c r="H4" t="inlineStr">
        <is>
          <t xml:space="preserve">첫 게시 3본 중 1</t>
        </is>
      </c>
    </row>
    <row r="5">
      <c r="A5"/>
      <c r="B5"/>
      <c r="C5"/>
      <c r="D5"/>
      <c r="E5"/>
      <c r="F5"/>
      <c r="G5"/>
      <c r="H5"/>
    </row>
    <row r="6">
      <c r="A6"/>
      <c r="B6"/>
      <c r="C6"/>
      <c r="D6"/>
      <c r="E6"/>
      <c r="F6"/>
      <c r="G6"/>
      <c r="H6"/>
    </row>
    <row r="7">
      <c r="A7"/>
      <c r="B7"/>
      <c r="C7"/>
      <c r="D7"/>
      <c r="E7"/>
      <c r="F7"/>
      <c r="G7"/>
      <c r="H7"/>
    </row>
    <row r="8">
      <c r="A8"/>
      <c r="B8"/>
      <c r="C8"/>
      <c r="D8"/>
      <c r="E8"/>
      <c r="F8"/>
      <c r="G8"/>
      <c r="H8"/>
    </row>
    <row r="9">
      <c r="A9"/>
      <c r="B9"/>
      <c r="C9"/>
      <c r="D9"/>
      <c r="E9"/>
      <c r="F9"/>
      <c r="G9"/>
      <c r="H9"/>
    </row>
    <row r="10">
      <c r="A10"/>
      <c r="B10"/>
      <c r="C10"/>
      <c r="D10"/>
      <c r="E10"/>
      <c r="F10"/>
      <c r="G10"/>
      <c r="H10"/>
    </row>
    <row r="11">
      <c r="A11"/>
      <c r="B11"/>
      <c r="C11"/>
      <c r="D11"/>
      <c r="E11"/>
      <c r="F11"/>
      <c r="G11"/>
      <c r="H11"/>
    </row>
    <row r="12">
      <c r="A12"/>
      <c r="B12"/>
      <c r="C12"/>
      <c r="D12"/>
      <c r="E12"/>
      <c r="F12"/>
      <c r="G12"/>
      <c r="H12"/>
    </row>
    <row r="13">
      <c r="A13"/>
      <c r="B13"/>
      <c r="C13"/>
      <c r="D13"/>
      <c r="E13"/>
      <c r="F13"/>
      <c r="G13"/>
      <c r="H13"/>
    </row>
    <row r="14">
      <c r="A14"/>
      <c r="B14"/>
      <c r="C14"/>
      <c r="D14"/>
      <c r="E14"/>
      <c r="F14"/>
      <c r="G14"/>
      <c r="H14"/>
    </row>
    <row r="15">
      <c r="A15"/>
      <c r="B15"/>
      <c r="C15"/>
      <c r="D15"/>
      <c r="E15"/>
      <c r="F15"/>
      <c r="G15"/>
      <c r="H15"/>
    </row>
    <row r="16">
      <c r="A16"/>
      <c r="B16"/>
      <c r="C16"/>
      <c r="D16"/>
      <c r="E16"/>
      <c r="F16"/>
      <c r="G16"/>
      <c r="H16"/>
    </row>
    <row r="17">
      <c r="A17"/>
      <c r="B17"/>
      <c r="C17"/>
      <c r="D17"/>
      <c r="E17"/>
      <c r="F17"/>
      <c r="G17"/>
      <c r="H17"/>
    </row>
    <row r="18">
      <c r="A18"/>
      <c r="B18"/>
      <c r="C18"/>
      <c r="D18"/>
      <c r="E18"/>
      <c r="F18"/>
      <c r="G18"/>
      <c r="H18"/>
    </row>
    <row r="19">
      <c r="A19"/>
      <c r="B19"/>
      <c r="C19"/>
      <c r="D19"/>
      <c r="E19"/>
      <c r="F19"/>
      <c r="G19"/>
      <c r="H19"/>
    </row>
    <row r="20">
      <c r="A20"/>
      <c r="B20"/>
      <c r="C20"/>
      <c r="D20"/>
      <c r="E20"/>
      <c r="F20"/>
      <c r="G20"/>
      <c r="H20"/>
    </row>
    <row r="21">
      <c r="A21"/>
      <c r="B21"/>
      <c r="C21"/>
      <c r="D21"/>
      <c r="E21"/>
      <c r="F21"/>
      <c r="G21"/>
      <c r="H21"/>
    </row>
    <row r="22">
      <c r="A22"/>
      <c r="B22"/>
      <c r="C22"/>
      <c r="D22"/>
      <c r="E22"/>
      <c r="F22"/>
      <c r="G22"/>
      <c r="H22"/>
    </row>
    <row r="23">
      <c r="A23"/>
      <c r="B23"/>
      <c r="C23"/>
      <c r="D23"/>
      <c r="E23"/>
      <c r="F23"/>
      <c r="G23"/>
      <c r="H23"/>
    </row>
    <row r="24">
      <c r="A24"/>
      <c r="B24"/>
      <c r="C24"/>
      <c r="D24"/>
      <c r="E24"/>
      <c r="F24"/>
      <c r="G24"/>
      <c r="H24"/>
    </row>
    <row r="25">
      <c r="A25"/>
      <c r="B25"/>
      <c r="C25"/>
      <c r="D25"/>
      <c r="E25"/>
      <c r="F25"/>
      <c r="G25"/>
      <c r="H25"/>
    </row>
    <row r="26">
      <c r="A26"/>
      <c r="B26"/>
      <c r="C26"/>
      <c r="D26"/>
      <c r="E26"/>
      <c r="F26"/>
      <c r="G26"/>
      <c r="H26"/>
    </row>
    <row r="27">
      <c r="A27"/>
      <c r="B27"/>
      <c r="C27"/>
      <c r="D27"/>
      <c r="E27"/>
      <c r="F27"/>
      <c r="G27"/>
      <c r="H27"/>
    </row>
    <row r="28">
      <c r="A28"/>
      <c r="B28"/>
      <c r="C28"/>
      <c r="D28"/>
      <c r="E28"/>
      <c r="F28"/>
      <c r="G28"/>
      <c r="H28"/>
    </row>
    <row r="29">
      <c r="A29"/>
      <c r="B29"/>
      <c r="C29"/>
      <c r="D29"/>
      <c r="E29"/>
      <c r="F29"/>
      <c r="G29"/>
      <c r="H29"/>
    </row>
    <row r="30">
      <c r="A30"/>
      <c r="B30"/>
      <c r="C30"/>
      <c r="D30"/>
      <c r="E30"/>
      <c r="F30"/>
      <c r="G30"/>
      <c r="H30"/>
    </row>
    <row r="31">
      <c r="A31"/>
      <c r="B31"/>
      <c r="C31"/>
      <c r="D31"/>
      <c r="E31"/>
      <c r="F31"/>
      <c r="G31"/>
      <c r="H31"/>
    </row>
    <row r="32">
      <c r="A32"/>
      <c r="B32"/>
      <c r="C32"/>
      <c r="D32"/>
      <c r="E32"/>
      <c r="F32"/>
      <c r="G32"/>
      <c r="H32"/>
    </row>
    <row r="33">
      <c r="A33"/>
      <c r="B33"/>
      <c r="C33"/>
      <c r="D33"/>
      <c r="E33"/>
      <c r="F33"/>
      <c r="G33"/>
      <c r="H33"/>
    </row>
    <row r="34">
      <c r="A34"/>
      <c r="B34"/>
      <c r="C34"/>
      <c r="D34"/>
      <c r="E34"/>
      <c r="F34"/>
      <c r="G34"/>
      <c r="H34"/>
    </row>
  </sheetData>
</worksheet>
</file>

<file path=xl/worksheets/sheet4.xml><?xml version="1.0" encoding="utf-8"?>
<worksheet xmlns="http://schemas.openxmlformats.org/spreadsheetml/2006/main">
  <sheetPr filterMode="false">
    <pageSetUpPr fitToPage="1"/>
  </sheetPr>
  <dimension ref="A1:I45"/>
  <sheetViews>
    <sheetView tabSelected="0" workbookViewId="0">
      <pane ySplit="4" topLeftCell="A5" activePane="bottomLeft" state="frozen"/>
    </sheetView>
  </sheetViews>
  <sheetFormatPr defaultRowHeight="16.5"/>
  <cols>
    <col min="1" max="1" width="11" customWidth="1"/>
    <col min="2" max="2" width="14" customWidth="1"/>
    <col min="3" max="3" width="22" customWidth="1"/>
    <col min="4" max="4" width="11" customWidth="1"/>
    <col min="5" max="5" width="11" customWidth="1"/>
    <col min="6" max="6" width="13" customWidth="1"/>
    <col min="7" max="7" width="11" customWidth="1"/>
    <col min="8" max="8" width="11" customWidth="1"/>
    <col min="9" max="9" width="14" customWidth="1"/>
  </cols>
  <sheetData>
    <row r="1">
      <c r="A1" t="inlineStr">
        <is>
          <t xml:space="preserve">납품 관리 - SLA: 응답 12h / 1차시안 48h / 수정 2회 포함</t>
        </is>
      </c>
    </row>
    <row r="2">
      <c r="A2" t="inlineStr">
        <is>
          <t xml:space="preserve">시급 3만 미만 3회 누적 시 상품 조정(감정적 집착 금지 규칙)</t>
        </is>
      </c>
    </row>
    <row r="3"/>
    <row r="4">
      <c r="A4" s="1" t="inlineStr">
        <is>
          <t xml:space="preserve">주문일</t>
        </is>
      </c>
      <c r="B4" s="1" t="inlineStr">
        <is>
          <t xml:space="preserve">고객</t>
        </is>
      </c>
      <c r="C4" s="1" t="inlineStr">
        <is>
          <t xml:space="preserve">상품</t>
        </is>
      </c>
      <c r="D4" s="1" t="inlineStr">
        <is>
          <t xml:space="preserve">금액(총액)</t>
        </is>
      </c>
      <c r="E4" s="1" t="inlineStr">
        <is>
          <t xml:space="preserve">마감일</t>
        </is>
      </c>
      <c r="F4" s="1" t="inlineStr">
        <is>
          <t xml:space="preserve">상태(대기/제작/검수/완료)</t>
        </is>
      </c>
      <c r="G4" s="1" t="inlineStr">
        <is>
          <t xml:space="preserve">실납품일</t>
        </is>
      </c>
      <c r="H4" s="1" t="inlineStr">
        <is>
          <t xml:space="preserve">소요시간(h)</t>
        </is>
      </c>
      <c r="I4" s="1" t="inlineStr">
        <is>
          <t xml:space="preserve">시급(3.3%차감후)</t>
        </is>
      </c>
    </row>
    <row r="5">
      <c r="A5" t="inlineStr">
        <is>
          <t xml:space="preserve">2026-11-05 예시</t>
        </is>
      </c>
      <c r="B5" t="inlineStr">
        <is>
          <t xml:space="preserve">(지인 베타)</t>
        </is>
      </c>
      <c r="C5" t="inlineStr">
        <is>
          <t xml:space="preserve">숏폼 1본 리프레임</t>
        </is>
      </c>
      <c r="D5">
        <v>30000</v>
      </c>
      <c r="E5" t="inlineStr">
        <is>
          <t xml:space="preserve">2026-11-07</t>
        </is>
      </c>
      <c r="F5" t="inlineStr">
        <is>
          <t xml:space="preserve">완료</t>
        </is>
      </c>
      <c r="G5" t="inlineStr">
        <is>
          <t xml:space="preserve">2026-11-07</t>
        </is>
      </c>
      <c r="H5">
        <v>1.5</v>
      </c>
      <c r="I5">
        <f>IF(H5&gt;0,ROUND(D5*0.967/H5,0),"")</f>
      </c>
    </row>
    <row r="6">
      <c r="A6"/>
      <c r="B6"/>
      <c r="C6"/>
      <c r="D6"/>
      <c r="E6"/>
      <c r="F6"/>
      <c r="G6"/>
      <c r="H6"/>
      <c r="I6"/>
    </row>
    <row r="7">
      <c r="A7"/>
      <c r="B7"/>
      <c r="C7"/>
      <c r="D7"/>
      <c r="E7"/>
      <c r="F7"/>
      <c r="G7"/>
      <c r="H7"/>
      <c r="I7"/>
    </row>
    <row r="8">
      <c r="A8"/>
      <c r="B8"/>
      <c r="C8"/>
      <c r="D8"/>
      <c r="E8"/>
      <c r="F8"/>
      <c r="G8"/>
      <c r="H8"/>
      <c r="I8"/>
    </row>
    <row r="9">
      <c r="A9"/>
      <c r="B9"/>
      <c r="C9"/>
      <c r="D9"/>
      <c r="E9"/>
      <c r="F9"/>
      <c r="G9"/>
      <c r="H9"/>
      <c r="I9"/>
    </row>
    <row r="10">
      <c r="A10"/>
      <c r="B10"/>
      <c r="C10"/>
      <c r="D10"/>
      <c r="E10"/>
      <c r="F10"/>
      <c r="G10"/>
      <c r="H10"/>
      <c r="I10"/>
    </row>
    <row r="11">
      <c r="A11"/>
      <c r="B11"/>
      <c r="C11"/>
      <c r="D11"/>
      <c r="E11"/>
      <c r="F11"/>
      <c r="G11"/>
      <c r="H11"/>
      <c r="I11"/>
    </row>
    <row r="12">
      <c r="A12"/>
      <c r="B12"/>
      <c r="C12"/>
      <c r="D12"/>
      <c r="E12"/>
      <c r="F12"/>
      <c r="G12"/>
      <c r="H12"/>
      <c r="I12"/>
    </row>
    <row r="13">
      <c r="A13"/>
      <c r="B13"/>
      <c r="C13"/>
      <c r="D13"/>
      <c r="E13"/>
      <c r="F13"/>
      <c r="G13"/>
      <c r="H13"/>
      <c r="I13"/>
    </row>
    <row r="14">
      <c r="A14"/>
      <c r="B14"/>
      <c r="C14"/>
      <c r="D14"/>
      <c r="E14"/>
      <c r="F14"/>
      <c r="G14"/>
      <c r="H14"/>
      <c r="I14"/>
    </row>
    <row r="15">
      <c r="A15"/>
      <c r="B15"/>
      <c r="C15"/>
      <c r="D15"/>
      <c r="E15"/>
      <c r="F15"/>
      <c r="G15"/>
      <c r="H15"/>
      <c r="I15"/>
    </row>
    <row r="16">
      <c r="A16"/>
      <c r="B16"/>
      <c r="C16"/>
      <c r="D16"/>
      <c r="E16"/>
      <c r="F16"/>
      <c r="G16"/>
      <c r="H16"/>
      <c r="I16"/>
    </row>
    <row r="17">
      <c r="A17"/>
      <c r="B17"/>
      <c r="C17"/>
      <c r="D17"/>
      <c r="E17"/>
      <c r="F17"/>
      <c r="G17"/>
      <c r="H17"/>
      <c r="I17"/>
    </row>
    <row r="18">
      <c r="A18"/>
      <c r="B18"/>
      <c r="C18"/>
      <c r="D18"/>
      <c r="E18"/>
      <c r="F18"/>
      <c r="G18"/>
      <c r="H18"/>
      <c r="I18"/>
    </row>
    <row r="19">
      <c r="A19"/>
      <c r="B19"/>
      <c r="C19"/>
      <c r="D19"/>
      <c r="E19"/>
      <c r="F19"/>
      <c r="G19"/>
      <c r="H19"/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  <row r="22">
      <c r="A22"/>
      <c r="B22"/>
      <c r="C22"/>
      <c r="D22"/>
      <c r="E22"/>
      <c r="F22"/>
      <c r="G22"/>
      <c r="H22"/>
      <c r="I22"/>
    </row>
    <row r="23">
      <c r="A23"/>
      <c r="B23"/>
      <c r="C23"/>
      <c r="D23"/>
      <c r="E23"/>
      <c r="F23"/>
      <c r="G23"/>
      <c r="H23"/>
      <c r="I23"/>
    </row>
    <row r="24">
      <c r="A24"/>
      <c r="B24"/>
      <c r="C24"/>
      <c r="D24"/>
      <c r="E24"/>
      <c r="F24"/>
      <c r="G24"/>
      <c r="H24"/>
      <c r="I24"/>
    </row>
    <row r="25">
      <c r="A25"/>
      <c r="B25"/>
      <c r="C25"/>
      <c r="D25"/>
      <c r="E25"/>
      <c r="F25"/>
      <c r="G25"/>
      <c r="H25"/>
      <c r="I25"/>
    </row>
    <row r="26">
      <c r="A26"/>
      <c r="B26"/>
      <c r="C26"/>
      <c r="D26"/>
      <c r="E26"/>
      <c r="F26"/>
      <c r="G26"/>
      <c r="H26"/>
      <c r="I26"/>
    </row>
    <row r="27">
      <c r="A27"/>
      <c r="B27"/>
      <c r="C27"/>
      <c r="D27"/>
      <c r="E27"/>
      <c r="F27"/>
      <c r="G27"/>
      <c r="H27"/>
      <c r="I27"/>
    </row>
    <row r="28">
      <c r="A28"/>
      <c r="B28"/>
      <c r="C28"/>
      <c r="D28"/>
      <c r="E28"/>
      <c r="F28"/>
      <c r="G28"/>
      <c r="H28"/>
      <c r="I28"/>
    </row>
    <row r="29">
      <c r="A29"/>
      <c r="B29"/>
      <c r="C29"/>
      <c r="D29"/>
      <c r="E29"/>
      <c r="F29"/>
      <c r="G29"/>
      <c r="H29"/>
      <c r="I29"/>
    </row>
    <row r="30">
      <c r="A30"/>
      <c r="B30"/>
      <c r="C30"/>
      <c r="D30"/>
      <c r="E30"/>
      <c r="F30"/>
      <c r="G30"/>
      <c r="H30"/>
      <c r="I30"/>
    </row>
    <row r="31">
      <c r="A31"/>
      <c r="B31"/>
      <c r="C31"/>
      <c r="D31"/>
      <c r="E31"/>
      <c r="F31"/>
      <c r="G31"/>
      <c r="H31"/>
      <c r="I31"/>
    </row>
    <row r="32">
      <c r="A32"/>
      <c r="B32"/>
      <c r="C32"/>
      <c r="D32"/>
      <c r="E32"/>
      <c r="F32"/>
      <c r="G32"/>
      <c r="H32"/>
      <c r="I32"/>
    </row>
    <row r="33">
      <c r="A33"/>
      <c r="B33"/>
      <c r="C33"/>
      <c r="D33"/>
      <c r="E33"/>
      <c r="F33"/>
      <c r="G33"/>
      <c r="H33"/>
      <c r="I33"/>
    </row>
    <row r="34">
      <c r="A34"/>
      <c r="B34"/>
      <c r="C34"/>
      <c r="D34"/>
      <c r="E34"/>
      <c r="F34"/>
      <c r="G34"/>
      <c r="H34"/>
      <c r="I34"/>
    </row>
    <row r="35">
      <c r="A35"/>
      <c r="B35"/>
      <c r="C35"/>
      <c r="D35"/>
      <c r="E35"/>
      <c r="F35"/>
      <c r="G35"/>
      <c r="H35"/>
      <c r="I35"/>
    </row>
    <row r="36">
      <c r="A36"/>
      <c r="B36"/>
      <c r="C36"/>
      <c r="D36"/>
      <c r="E36"/>
      <c r="F36"/>
      <c r="G36"/>
      <c r="H36"/>
      <c r="I36"/>
    </row>
    <row r="37">
      <c r="A37"/>
      <c r="B37"/>
      <c r="C37"/>
      <c r="D37"/>
      <c r="E37"/>
      <c r="F37"/>
      <c r="G37"/>
      <c r="H37"/>
      <c r="I37"/>
    </row>
    <row r="38">
      <c r="A38"/>
      <c r="B38"/>
      <c r="C38"/>
      <c r="D38"/>
      <c r="E38"/>
      <c r="F38"/>
      <c r="G38"/>
      <c r="H38"/>
      <c r="I38"/>
    </row>
    <row r="39">
      <c r="A39"/>
      <c r="B39"/>
      <c r="C39"/>
      <c r="D39"/>
      <c r="E39"/>
      <c r="F39"/>
      <c r="G39"/>
      <c r="H39"/>
      <c r="I39"/>
    </row>
    <row r="40">
      <c r="A40"/>
      <c r="B40"/>
      <c r="C40"/>
      <c r="D40"/>
      <c r="E40"/>
      <c r="F40"/>
      <c r="G40"/>
      <c r="H40"/>
      <c r="I40"/>
    </row>
    <row r="41">
      <c r="A41"/>
      <c r="B41"/>
      <c r="C41"/>
      <c r="D41"/>
      <c r="E41"/>
      <c r="F41"/>
      <c r="G41"/>
      <c r="H41"/>
      <c r="I41"/>
    </row>
    <row r="42">
      <c r="A42"/>
      <c r="B42"/>
      <c r="C42"/>
      <c r="D42"/>
      <c r="E42"/>
      <c r="F42"/>
      <c r="G42"/>
      <c r="H42"/>
      <c r="I42"/>
    </row>
    <row r="43">
      <c r="A43"/>
      <c r="B43"/>
      <c r="C43"/>
      <c r="D43"/>
      <c r="E43"/>
      <c r="F43"/>
      <c r="G43"/>
      <c r="H43"/>
      <c r="I43"/>
    </row>
    <row r="44">
      <c r="A44"/>
      <c r="B44"/>
      <c r="C44"/>
      <c r="D44"/>
      <c r="E44"/>
      <c r="F44"/>
      <c r="G44"/>
      <c r="H44"/>
      <c r="I44"/>
    </row>
    <row r="45">
      <c r="A45"/>
      <c r="B45"/>
      <c r="C45"/>
      <c r="D45"/>
      <c r="E45"/>
      <c r="F45"/>
      <c r="G45"/>
      <c r="H45"/>
      <c r="I45"/>
    </row>
  </sheetData>
</worksheet>
</file>

<file path=xl/worksheets/sheet5.xml><?xml version="1.0" encoding="utf-8"?>
<worksheet xmlns="http://schemas.openxmlformats.org/spreadsheetml/2006/main">
  <sheetPr filterMode="false">
    <pageSetUpPr fitToPage="1"/>
  </sheetPr>
  <dimension ref="A1:H65"/>
  <sheetViews>
    <sheetView tabSelected="0" workbookViewId="0">
      <pane ySplit="4" topLeftCell="A5" activePane="bottomLeft" state="frozen"/>
    </sheetView>
  </sheetViews>
  <sheetFormatPr defaultRowHeight="16.5"/>
  <cols>
    <col min="1" max="1" width="11" customWidth="1"/>
    <col min="2" max="2" width="22" customWidth="1"/>
    <col min="3" max="3" width="11" customWidth="1"/>
    <col min="4" max="4" width="12" customWidth="1"/>
    <col min="5" max="5" width="11" customWidth="1"/>
    <col min="6" max="6" width="22" customWidth="1"/>
    <col min="7" max="7" width="12" customWidth="1"/>
    <col min="8" max="8" width="26" customWidth="1"/>
  </cols>
  <sheetData>
    <row r="1">
      <c r="A1" t="inlineStr">
        <is>
          <t xml:space="preserve">재무 원장 - 구분은 반드시 크몽/제휴/채널/상품/스폰서로 시작(대시보드 SUMIF 연동)</t>
        </is>
      </c>
    </row>
    <row r="2">
      <c r="A2" t="inlineStr">
        <is>
          <t xml:space="preserve">원천징수는 크몽·스폰서 등 사업소득만. 채널광고(AdSense)는 별도 기준 - 12월 세금정보 제출 후 재확인</t>
        </is>
      </c>
    </row>
    <row r="3"/>
    <row r="4">
      <c r="A4" s="1" t="inlineStr">
        <is>
          <t xml:space="preserve">날짜</t>
        </is>
      </c>
      <c r="B4" s="1" t="inlineStr">
        <is>
          <t xml:space="preserve">구분(크몽/제휴/채널/상품/스폰서)</t>
        </is>
      </c>
      <c r="C4" s="1" t="inlineStr">
        <is>
          <t xml:space="preserve">총액</t>
        </is>
      </c>
      <c r="D4" s="1" t="inlineStr">
        <is>
          <t xml:space="preserve">원천징수(3.3%)</t>
        </is>
      </c>
      <c r="E4" s="1" t="inlineStr">
        <is>
          <t xml:space="preserve">실수령</t>
        </is>
      </c>
      <c r="F4" s="1" t="inlineStr">
        <is>
          <t xml:space="preserve">증빙(정산서/이체)</t>
        </is>
      </c>
      <c r="G4" s="1" t="inlineStr">
        <is>
          <t xml:space="preserve">연말신고 대상</t>
        </is>
      </c>
      <c r="H4" s="1" t="inlineStr">
        <is>
          <t xml:space="preserve">메모</t>
        </is>
      </c>
    </row>
    <row r="5">
      <c r="A5" t="inlineStr">
        <is>
          <t xml:space="preserve">2026-11-10 예시</t>
        </is>
      </c>
      <c r="B5" t="inlineStr">
        <is>
          <t xml:space="preserve">크몽-입문패키지</t>
        </is>
      </c>
      <c r="C5">
        <v>30000</v>
      </c>
      <c r="D5">
        <f>IF(C5&lt;&gt;"",ROUND(C5*0.033,0),"")</f>
      </c>
      <c r="E5">
        <f>IF(C5&lt;&gt;"",C5-D5,"")</f>
      </c>
      <c r="F5" t="inlineStr">
        <is>
          <t xml:space="preserve">크몽 정산명세</t>
        </is>
      </c>
      <c r="G5"/>
      <c r="H5" t="inlineStr">
        <is>
          <t xml:space="preserve">첫 판매</t>
        </is>
      </c>
    </row>
    <row r="6">
      <c r="A6"/>
      <c r="B6"/>
      <c r="C6"/>
      <c r="D6"/>
      <c r="E6"/>
      <c r="F6"/>
      <c r="G6"/>
      <c r="H6"/>
    </row>
    <row r="7">
      <c r="A7"/>
      <c r="B7"/>
      <c r="C7"/>
      <c r="D7"/>
      <c r="E7"/>
      <c r="F7"/>
      <c r="G7"/>
      <c r="H7"/>
    </row>
    <row r="8">
      <c r="A8"/>
      <c r="B8"/>
      <c r="C8"/>
      <c r="D8"/>
      <c r="E8"/>
      <c r="F8"/>
      <c r="G8"/>
      <c r="H8"/>
    </row>
    <row r="9">
      <c r="A9"/>
      <c r="B9"/>
      <c r="C9"/>
      <c r="D9"/>
      <c r="E9"/>
      <c r="F9"/>
      <c r="G9"/>
      <c r="H9"/>
    </row>
    <row r="10">
      <c r="A10"/>
      <c r="B10"/>
      <c r="C10"/>
      <c r="D10"/>
      <c r="E10"/>
      <c r="F10"/>
      <c r="G10"/>
      <c r="H10"/>
    </row>
    <row r="11">
      <c r="A11"/>
      <c r="B11"/>
      <c r="C11"/>
      <c r="D11"/>
      <c r="E11"/>
      <c r="F11"/>
      <c r="G11"/>
      <c r="H11"/>
    </row>
    <row r="12">
      <c r="A12"/>
      <c r="B12"/>
      <c r="C12"/>
      <c r="D12"/>
      <c r="E12"/>
      <c r="F12"/>
      <c r="G12"/>
      <c r="H12"/>
    </row>
    <row r="13">
      <c r="A13"/>
      <c r="B13"/>
      <c r="C13"/>
      <c r="D13"/>
      <c r="E13"/>
      <c r="F13"/>
      <c r="G13"/>
      <c r="H13"/>
    </row>
    <row r="14">
      <c r="A14"/>
      <c r="B14"/>
      <c r="C14"/>
      <c r="D14"/>
      <c r="E14"/>
      <c r="F14"/>
      <c r="G14"/>
      <c r="H14"/>
    </row>
    <row r="15">
      <c r="A15"/>
      <c r="B15"/>
      <c r="C15"/>
      <c r="D15"/>
      <c r="E15"/>
      <c r="F15"/>
      <c r="G15"/>
      <c r="H15"/>
    </row>
    <row r="16">
      <c r="A16"/>
      <c r="B16"/>
      <c r="C16"/>
      <c r="D16"/>
      <c r="E16"/>
      <c r="F16"/>
      <c r="G16"/>
      <c r="H16"/>
    </row>
    <row r="17">
      <c r="A17"/>
      <c r="B17"/>
      <c r="C17"/>
      <c r="D17"/>
      <c r="E17"/>
      <c r="F17"/>
      <c r="G17"/>
      <c r="H17"/>
    </row>
    <row r="18">
      <c r="A18"/>
      <c r="B18"/>
      <c r="C18"/>
      <c r="D18"/>
      <c r="E18"/>
      <c r="F18"/>
      <c r="G18"/>
      <c r="H18"/>
    </row>
    <row r="19">
      <c r="A19"/>
      <c r="B19"/>
      <c r="C19"/>
      <c r="D19"/>
      <c r="E19"/>
      <c r="F19"/>
      <c r="G19"/>
      <c r="H19"/>
    </row>
    <row r="20">
      <c r="A20"/>
      <c r="B20"/>
      <c r="C20"/>
      <c r="D20"/>
      <c r="E20"/>
      <c r="F20"/>
      <c r="G20"/>
      <c r="H20"/>
    </row>
    <row r="21">
      <c r="A21"/>
      <c r="B21"/>
      <c r="C21"/>
      <c r="D21"/>
      <c r="E21"/>
      <c r="F21"/>
      <c r="G21"/>
      <c r="H21"/>
    </row>
    <row r="22">
      <c r="A22"/>
      <c r="B22"/>
      <c r="C22"/>
      <c r="D22"/>
      <c r="E22"/>
      <c r="F22"/>
      <c r="G22"/>
      <c r="H22"/>
    </row>
    <row r="23">
      <c r="A23"/>
      <c r="B23"/>
      <c r="C23"/>
      <c r="D23"/>
      <c r="E23"/>
      <c r="F23"/>
      <c r="G23"/>
      <c r="H23"/>
    </row>
    <row r="24">
      <c r="A24"/>
      <c r="B24"/>
      <c r="C24"/>
      <c r="D24"/>
      <c r="E24"/>
      <c r="F24"/>
      <c r="G24"/>
      <c r="H24"/>
    </row>
    <row r="25">
      <c r="A25"/>
      <c r="B25"/>
      <c r="C25"/>
      <c r="D25"/>
      <c r="E25"/>
      <c r="F25"/>
      <c r="G25"/>
      <c r="H25"/>
    </row>
    <row r="26">
      <c r="A26"/>
      <c r="B26"/>
      <c r="C26"/>
      <c r="D26"/>
      <c r="E26"/>
      <c r="F26"/>
      <c r="G26"/>
      <c r="H26"/>
    </row>
    <row r="27">
      <c r="A27"/>
      <c r="B27"/>
      <c r="C27"/>
      <c r="D27"/>
      <c r="E27"/>
      <c r="F27"/>
      <c r="G27"/>
      <c r="H27"/>
    </row>
    <row r="28">
      <c r="A28"/>
      <c r="B28"/>
      <c r="C28"/>
      <c r="D28"/>
      <c r="E28"/>
      <c r="F28"/>
      <c r="G28"/>
      <c r="H28"/>
    </row>
    <row r="29">
      <c r="A29"/>
      <c r="B29"/>
      <c r="C29"/>
      <c r="D29"/>
      <c r="E29"/>
      <c r="F29"/>
      <c r="G29"/>
      <c r="H29"/>
    </row>
    <row r="30">
      <c r="A30"/>
      <c r="B30"/>
      <c r="C30"/>
      <c r="D30"/>
      <c r="E30"/>
      <c r="F30"/>
      <c r="G30"/>
      <c r="H30"/>
    </row>
    <row r="31">
      <c r="A31"/>
      <c r="B31"/>
      <c r="C31"/>
      <c r="D31"/>
      <c r="E31"/>
      <c r="F31"/>
      <c r="G31"/>
      <c r="H31"/>
    </row>
    <row r="32">
      <c r="A32"/>
      <c r="B32"/>
      <c r="C32"/>
      <c r="D32"/>
      <c r="E32"/>
      <c r="F32"/>
      <c r="G32"/>
      <c r="H32"/>
    </row>
    <row r="33">
      <c r="A33"/>
      <c r="B33"/>
      <c r="C33"/>
      <c r="D33"/>
      <c r="E33"/>
      <c r="F33"/>
      <c r="G33"/>
      <c r="H33"/>
    </row>
    <row r="34">
      <c r="A34"/>
      <c r="B34"/>
      <c r="C34"/>
      <c r="D34"/>
      <c r="E34"/>
      <c r="F34"/>
      <c r="G34"/>
      <c r="H34"/>
    </row>
    <row r="35">
      <c r="A35"/>
      <c r="B35"/>
      <c r="C35"/>
      <c r="D35"/>
      <c r="E35"/>
      <c r="F35"/>
      <c r="G35"/>
      <c r="H35"/>
    </row>
    <row r="36">
      <c r="A36"/>
      <c r="B36"/>
      <c r="C36"/>
      <c r="D36"/>
      <c r="E36"/>
      <c r="F36"/>
      <c r="G36"/>
      <c r="H36"/>
    </row>
    <row r="37">
      <c r="A37"/>
      <c r="B37"/>
      <c r="C37"/>
      <c r="D37"/>
      <c r="E37"/>
      <c r="F37"/>
      <c r="G37"/>
      <c r="H37"/>
    </row>
    <row r="38">
      <c r="A38"/>
      <c r="B38"/>
      <c r="C38"/>
      <c r="D38"/>
      <c r="E38"/>
      <c r="F38"/>
      <c r="G38"/>
      <c r="H38"/>
    </row>
    <row r="39">
      <c r="A39"/>
      <c r="B39"/>
      <c r="C39"/>
      <c r="D39"/>
      <c r="E39"/>
      <c r="F39"/>
      <c r="G39"/>
      <c r="H39"/>
    </row>
    <row r="40">
      <c r="A40"/>
      <c r="B40"/>
      <c r="C40"/>
      <c r="D40"/>
      <c r="E40"/>
      <c r="F40"/>
      <c r="G40"/>
      <c r="H40"/>
    </row>
    <row r="41">
      <c r="A41"/>
      <c r="B41"/>
      <c r="C41"/>
      <c r="D41"/>
      <c r="E41"/>
      <c r="F41"/>
      <c r="G41"/>
      <c r="H41"/>
    </row>
    <row r="42">
      <c r="A42"/>
      <c r="B42"/>
      <c r="C42"/>
      <c r="D42"/>
      <c r="E42"/>
      <c r="F42"/>
      <c r="G42"/>
      <c r="H42"/>
    </row>
    <row r="43">
      <c r="A43"/>
      <c r="B43"/>
      <c r="C43"/>
      <c r="D43"/>
      <c r="E43"/>
      <c r="F43"/>
      <c r="G43"/>
      <c r="H43"/>
    </row>
    <row r="44">
      <c r="A44"/>
      <c r="B44"/>
      <c r="C44"/>
      <c r="D44"/>
      <c r="E44"/>
      <c r="F44"/>
      <c r="G44"/>
      <c r="H44"/>
    </row>
    <row r="45">
      <c r="A45"/>
      <c r="B45"/>
      <c r="C45"/>
      <c r="D45"/>
      <c r="E45"/>
      <c r="F45"/>
      <c r="G45"/>
      <c r="H45"/>
    </row>
    <row r="46">
      <c r="A46"/>
      <c r="B46"/>
      <c r="C46"/>
      <c r="D46"/>
      <c r="E46"/>
      <c r="F46"/>
      <c r="G46"/>
      <c r="H46"/>
    </row>
    <row r="47">
      <c r="A47"/>
      <c r="B47"/>
      <c r="C47"/>
      <c r="D47"/>
      <c r="E47"/>
      <c r="F47"/>
      <c r="G47"/>
      <c r="H47"/>
    </row>
    <row r="48">
      <c r="A48"/>
      <c r="B48"/>
      <c r="C48"/>
      <c r="D48"/>
      <c r="E48"/>
      <c r="F48"/>
      <c r="G48"/>
      <c r="H48"/>
    </row>
    <row r="49">
      <c r="A49"/>
      <c r="B49"/>
      <c r="C49"/>
      <c r="D49"/>
      <c r="E49"/>
      <c r="F49"/>
      <c r="G49"/>
      <c r="H49"/>
    </row>
    <row r="50">
      <c r="A50"/>
      <c r="B50"/>
      <c r="C50"/>
      <c r="D50"/>
      <c r="E50"/>
      <c r="F50"/>
      <c r="G50"/>
      <c r="H50"/>
    </row>
    <row r="51">
      <c r="A51"/>
      <c r="B51"/>
      <c r="C51"/>
      <c r="D51"/>
      <c r="E51"/>
      <c r="F51"/>
      <c r="G51"/>
      <c r="H51"/>
    </row>
    <row r="52">
      <c r="A52"/>
      <c r="B52"/>
      <c r="C52"/>
      <c r="D52"/>
      <c r="E52"/>
      <c r="F52"/>
      <c r="G52"/>
      <c r="H52"/>
    </row>
    <row r="53">
      <c r="A53"/>
      <c r="B53"/>
      <c r="C53"/>
      <c r="D53"/>
      <c r="E53"/>
      <c r="F53"/>
      <c r="G53"/>
      <c r="H53"/>
    </row>
    <row r="54">
      <c r="A54"/>
      <c r="B54"/>
      <c r="C54"/>
      <c r="D54"/>
      <c r="E54"/>
      <c r="F54"/>
      <c r="G54"/>
      <c r="H54"/>
    </row>
    <row r="55">
      <c r="A55"/>
      <c r="B55"/>
      <c r="C55"/>
      <c r="D55"/>
      <c r="E55"/>
      <c r="F55"/>
      <c r="G55"/>
      <c r="H55"/>
    </row>
    <row r="56">
      <c r="A56"/>
      <c r="B56"/>
      <c r="C56"/>
      <c r="D56"/>
      <c r="E56"/>
      <c r="F56"/>
      <c r="G56"/>
      <c r="H56"/>
    </row>
    <row r="57">
      <c r="A57"/>
      <c r="B57"/>
      <c r="C57"/>
      <c r="D57"/>
      <c r="E57"/>
      <c r="F57"/>
      <c r="G57"/>
      <c r="H57"/>
    </row>
    <row r="58">
      <c r="A58"/>
      <c r="B58"/>
      <c r="C58"/>
      <c r="D58"/>
      <c r="E58"/>
      <c r="F58"/>
      <c r="G58"/>
      <c r="H58"/>
    </row>
    <row r="59">
      <c r="A59"/>
      <c r="B59"/>
      <c r="C59"/>
      <c r="D59"/>
      <c r="E59"/>
      <c r="F59"/>
      <c r="G59"/>
      <c r="H59"/>
    </row>
    <row r="60">
      <c r="A60"/>
      <c r="B60"/>
      <c r="C60"/>
      <c r="D60"/>
      <c r="E60"/>
      <c r="F60"/>
      <c r="G60"/>
      <c r="H60"/>
    </row>
    <row r="61">
      <c r="A61"/>
      <c r="B61"/>
      <c r="C61"/>
      <c r="D61"/>
      <c r="E61"/>
      <c r="F61"/>
      <c r="G61"/>
      <c r="H61"/>
    </row>
    <row r="62">
      <c r="A62"/>
      <c r="B62"/>
      <c r="C62"/>
      <c r="D62"/>
      <c r="E62"/>
      <c r="F62"/>
      <c r="G62"/>
      <c r="H62"/>
    </row>
    <row r="63">
      <c r="A63"/>
      <c r="B63"/>
      <c r="C63"/>
      <c r="D63"/>
      <c r="E63"/>
      <c r="F63"/>
      <c r="G63"/>
      <c r="H63"/>
    </row>
    <row r="64">
      <c r="A64"/>
      <c r="B64"/>
      <c r="C64"/>
      <c r="D64"/>
      <c r="E64"/>
      <c r="F64"/>
      <c r="G64"/>
      <c r="H64"/>
    </row>
    <row r="65">
      <c r="A65"/>
      <c r="B65"/>
      <c r="C65"/>
      <c r="D65"/>
      <c r="E65"/>
      <c r="F65"/>
      <c r="G65"/>
      <c r="H65"/>
    </row>
  </sheetData>
</worksheet>
</file>

<file path=xl/worksheets/sheet6.xml><?xml version="1.0" encoding="utf-8"?>
<worksheet xmlns="http://schemas.openxmlformats.org/spreadsheetml/2006/main">
  <sheetPr filterMode="false">
    <pageSetUpPr fitToPage="1"/>
  </sheetPr>
  <dimension ref="A1:E45"/>
  <sheetViews>
    <sheetView tabSelected="0" workbookViewId="0">
      <pane ySplit="4" topLeftCell="A5" activePane="bottomLeft" state="frozen"/>
    </sheetView>
  </sheetViews>
  <sheetFormatPr defaultRowHeight="16.5"/>
  <cols>
    <col min="1" max="1" width="11" customWidth="1"/>
    <col min="2" max="2" width="22" customWidth="1"/>
    <col min="3" max="3" width="10" customWidth="1"/>
    <col min="4" max="4" width="26" customWidth="1"/>
    <col min="5" max="5" width="30" customWidth="1"/>
  </cols>
  <sheetData>
    <row r="1">
      <c r="A1" t="inlineStr">
        <is>
          <t xml:space="preserve">툴비 대장 - 유료 전환은 동시 1개만(P4). 무료 한도 소진 기록 필수</t>
        </is>
      </c>
    </row>
    <row r="2">
      <c r="A2" t="inlineStr">
        <is>
          <t xml:space="preserve">월 총한도: 툴+실험 7만원 · 예비비(40만) 사용은 배우자 동의 후에만</t>
        </is>
      </c>
    </row>
    <row r="3"/>
    <row r="4">
      <c r="A4" s="1" t="inlineStr">
        <is>
          <t xml:space="preserve">월</t>
        </is>
      </c>
      <c r="B4" s="1" t="inlineStr">
        <is>
          <t xml:space="preserve">툴</t>
        </is>
      </c>
      <c r="C4" s="1" t="inlineStr">
        <is>
          <t xml:space="preserve">금액</t>
        </is>
      </c>
      <c r="D4" s="1" t="inlineStr">
        <is>
          <t xml:space="preserve">한도 소진(예: 일 크레딧 10/10)</t>
        </is>
      </c>
      <c r="E4" s="1" t="inlineStr">
        <is>
          <t xml:space="preserve">비고</t>
        </is>
      </c>
    </row>
    <row r="5">
      <c r="A5" t="inlineStr">
        <is>
          <t xml:space="preserve">2026-09 예시</t>
        </is>
      </c>
      <c r="B5" t="inlineStr">
        <is>
          <t xml:space="preserve">(무료 로테이션)</t>
        </is>
      </c>
      <c r="C5">
        <v>0</v>
      </c>
      <c r="D5" t="inlineStr">
        <is>
          <t xml:space="preserve">해당없음</t>
        </is>
      </c>
      <c r="E5" t="inlineStr">
        <is>
          <t xml:space="preserve">0원 운영 확인</t>
        </is>
      </c>
    </row>
    <row r="6">
      <c r="A6"/>
      <c r="B6"/>
      <c r="C6"/>
      <c r="D6"/>
      <c r="E6"/>
    </row>
    <row r="7">
      <c r="A7"/>
      <c r="B7"/>
      <c r="C7"/>
      <c r="D7"/>
      <c r="E7"/>
    </row>
    <row r="8">
      <c r="A8"/>
      <c r="B8"/>
      <c r="C8"/>
      <c r="D8"/>
      <c r="E8"/>
    </row>
    <row r="9">
      <c r="A9"/>
      <c r="B9"/>
      <c r="C9"/>
      <c r="D9"/>
      <c r="E9"/>
    </row>
    <row r="10">
      <c r="A10"/>
      <c r="B10"/>
      <c r="C10"/>
      <c r="D10"/>
      <c r="E10"/>
    </row>
    <row r="11">
      <c r="A11"/>
      <c r="B11"/>
      <c r="C11"/>
      <c r="D11"/>
      <c r="E11"/>
    </row>
    <row r="12">
      <c r="A12"/>
      <c r="B12"/>
      <c r="C12"/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/>
      <c r="B24"/>
      <c r="C24"/>
      <c r="D24"/>
      <c r="E24"/>
    </row>
    <row r="25">
      <c r="A25"/>
      <c r="B25"/>
      <c r="C25"/>
      <c r="D25"/>
      <c r="E25"/>
    </row>
    <row r="26">
      <c r="A26"/>
      <c r="B26"/>
      <c r="C26"/>
      <c r="D26"/>
      <c r="E26"/>
    </row>
    <row r="27">
      <c r="A27"/>
      <c r="B27"/>
      <c r="C27"/>
      <c r="D27"/>
      <c r="E27"/>
    </row>
    <row r="28">
      <c r="A28"/>
      <c r="B28"/>
      <c r="C28"/>
      <c r="D28"/>
      <c r="E28"/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/>
      <c r="B31"/>
      <c r="C31"/>
      <c r="D31"/>
      <c r="E31"/>
    </row>
    <row r="32">
      <c r="A32"/>
      <c r="B32"/>
      <c r="C32"/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/>
      <c r="B44"/>
      <c r="C44"/>
      <c r="D44"/>
      <c r="E44"/>
    </row>
    <row r="45">
      <c r="A45"/>
      <c r="B45"/>
      <c r="C45"/>
      <c r="D45"/>
      <c r="E45"/>
    </row>
  </sheetData>
</worksheet>
</file>

<file path=xl/worksheets/sheet7.xml><?xml version="1.0" encoding="utf-8"?>
<worksheet xmlns="http://schemas.openxmlformats.org/spreadsheetml/2006/main">
  <sheetPr filterMode="false">
    <pageSetUpPr fitToPage="1"/>
  </sheetPr>
  <dimension ref="A1:G44"/>
  <sheetViews>
    <sheetView tabSelected="0" workbookViewId="0">
      <pane ySplit="3" topLeftCell="A4" activePane="bottomLeft" state="frozen"/>
    </sheetView>
  </sheetViews>
  <sheetFormatPr defaultRowHeight="16.5"/>
  <cols>
    <col min="1" max="1" width="11" customWidth="1"/>
    <col min="2" max="2" width="16" customWidth="1"/>
    <col min="3" max="3" width="38" customWidth="1"/>
    <col min="4" max="4" width="18" customWidth="1"/>
    <col min="5" max="5" width="18" customWidth="1"/>
    <col min="6" max="6" width="11" customWidth="1"/>
    <col min="7" max="7" width="28" customWidth="1"/>
  </cols>
  <sheetData>
    <row r="1">
      <c r="A1" t="inlineStr">
        <is>
          <t xml:space="preserve">실험 로그 - 가설-&gt;판정-&gt;다음액션. [정책감시] 태그로 월 1회 모니터링도 기록(H4)</t>
        </is>
      </c>
    </row>
    <row r="2"/>
    <row r="3">
      <c r="A3" s="1" t="inlineStr">
        <is>
          <t xml:space="preserve">날짜</t>
        </is>
      </c>
      <c r="B3" s="1" t="inlineStr">
        <is>
          <t xml:space="preserve">태그(A/B/트렌드/정책감시)</t>
        </is>
      </c>
      <c r="C3" s="1" t="inlineStr">
        <is>
          <t xml:space="preserve">가설</t>
        </is>
      </c>
      <c r="D3" s="1" t="inlineStr">
        <is>
          <t xml:space="preserve">대상</t>
        </is>
      </c>
      <c r="E3" s="1" t="inlineStr">
        <is>
          <t xml:space="preserve">결과(수치)</t>
        </is>
      </c>
      <c r="F3" s="1" t="inlineStr">
        <is>
          <t xml:space="preserve">판정(승/패/보류)</t>
        </is>
      </c>
      <c r="G3" s="1" t="inlineStr">
        <is>
          <t xml:space="preserve">다음 액션</t>
        </is>
      </c>
    </row>
    <row r="4">
      <c r="A4" t="inlineStr">
        <is>
          <t xml:space="preserve">2026-10-01 예시</t>
        </is>
      </c>
      <c r="B4" t="inlineStr">
        <is>
          <t xml:space="preserve">A/B</t>
        </is>
      </c>
      <c r="C4" t="inlineStr">
        <is>
          <t xml:space="preserve">질문형 훅이 통념반박보다 완주율 높다</t>
        </is>
      </c>
      <c r="D4" t="inlineStr">
        <is>
          <t xml:space="preserve">동일 본문 2종</t>
        </is>
      </c>
      <c r="E4" t="inlineStr">
        <is>
          <t xml:space="preserve">완주 42% vs 31%</t>
        </is>
      </c>
      <c r="F4" t="inlineStr">
        <is>
          <t xml:space="preserve">승</t>
        </is>
      </c>
      <c r="G4" t="inlineStr">
        <is>
          <t xml:space="preserve">질문형 비중 60%로</t>
        </is>
      </c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  <row r="7">
      <c r="A7"/>
      <c r="B7"/>
      <c r="C7"/>
      <c r="D7"/>
      <c r="E7"/>
      <c r="F7"/>
      <c r="G7"/>
    </row>
    <row r="8">
      <c r="A8"/>
      <c r="B8"/>
      <c r="C8"/>
      <c r="D8"/>
      <c r="E8"/>
      <c r="F8"/>
      <c r="G8"/>
    </row>
    <row r="9">
      <c r="A9"/>
      <c r="B9"/>
      <c r="C9"/>
      <c r="D9"/>
      <c r="E9"/>
      <c r="F9"/>
      <c r="G9"/>
    </row>
    <row r="10">
      <c r="A10"/>
      <c r="B10"/>
      <c r="C10"/>
      <c r="D10"/>
      <c r="E10"/>
      <c r="F10"/>
      <c r="G10"/>
    </row>
    <row r="11">
      <c r="A11"/>
      <c r="B11"/>
      <c r="C11"/>
      <c r="D11"/>
      <c r="E11"/>
      <c r="F11"/>
      <c r="G11"/>
    </row>
    <row r="12">
      <c r="A12"/>
      <c r="B12"/>
      <c r="C12"/>
      <c r="D12"/>
      <c r="E12"/>
      <c r="F12"/>
      <c r="G12"/>
    </row>
    <row r="13">
      <c r="A13"/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/>
      <c r="B15"/>
      <c r="C15"/>
      <c r="D15"/>
      <c r="E15"/>
      <c r="F15"/>
      <c r="G15"/>
    </row>
    <row r="16">
      <c r="A16"/>
      <c r="B16"/>
      <c r="C16"/>
      <c r="D16"/>
      <c r="E16"/>
      <c r="F16"/>
      <c r="G16"/>
    </row>
    <row r="17">
      <c r="A17"/>
      <c r="B17"/>
      <c r="C17"/>
      <c r="D17"/>
      <c r="E17"/>
      <c r="F17"/>
      <c r="G17"/>
    </row>
    <row r="18">
      <c r="A18"/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/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  <row r="22">
      <c r="A22"/>
      <c r="B22"/>
      <c r="C22"/>
      <c r="D22"/>
      <c r="E22"/>
      <c r="F22"/>
      <c r="G22"/>
    </row>
    <row r="23">
      <c r="A23"/>
      <c r="B23"/>
      <c r="C23"/>
      <c r="D23"/>
      <c r="E23"/>
      <c r="F23"/>
      <c r="G23"/>
    </row>
    <row r="24">
      <c r="A24"/>
      <c r="B24"/>
      <c r="C24"/>
      <c r="D24"/>
      <c r="E24"/>
      <c r="F24"/>
      <c r="G24"/>
    </row>
    <row r="25">
      <c r="A25"/>
      <c r="B25"/>
      <c r="C25"/>
      <c r="D25"/>
      <c r="E25"/>
      <c r="F25"/>
      <c r="G25"/>
    </row>
    <row r="26">
      <c r="A26"/>
      <c r="B26"/>
      <c r="C26"/>
      <c r="D26"/>
      <c r="E26"/>
      <c r="F26"/>
      <c r="G26"/>
    </row>
    <row r="27">
      <c r="A27"/>
      <c r="B27"/>
      <c r="C27"/>
      <c r="D27"/>
      <c r="E27"/>
      <c r="F27"/>
      <c r="G27"/>
    </row>
    <row r="28">
      <c r="A28"/>
      <c r="B28"/>
      <c r="C28"/>
      <c r="D28"/>
      <c r="E28"/>
      <c r="F28"/>
      <c r="G28"/>
    </row>
    <row r="29">
      <c r="A29"/>
      <c r="B29"/>
      <c r="C29"/>
      <c r="D29"/>
      <c r="E29"/>
      <c r="F29"/>
      <c r="G29"/>
    </row>
    <row r="30">
      <c r="A30"/>
      <c r="B30"/>
      <c r="C30"/>
      <c r="D30"/>
      <c r="E30"/>
      <c r="F30"/>
      <c r="G30"/>
    </row>
    <row r="31">
      <c r="A31"/>
      <c r="B31"/>
      <c r="C31"/>
      <c r="D31"/>
      <c r="E31"/>
      <c r="F31"/>
      <c r="G31"/>
    </row>
    <row r="32">
      <c r="A32"/>
      <c r="B32"/>
      <c r="C32"/>
      <c r="D32"/>
      <c r="E32"/>
      <c r="F32"/>
      <c r="G32"/>
    </row>
    <row r="33">
      <c r="A33"/>
      <c r="B33"/>
      <c r="C33"/>
      <c r="D33"/>
      <c r="E33"/>
      <c r="F33"/>
      <c r="G33"/>
    </row>
    <row r="34">
      <c r="A34"/>
      <c r="B34"/>
      <c r="C34"/>
      <c r="D34"/>
      <c r="E34"/>
      <c r="F34"/>
      <c r="G34"/>
    </row>
    <row r="35">
      <c r="A35"/>
      <c r="B35"/>
      <c r="C35"/>
      <c r="D35"/>
      <c r="E35"/>
      <c r="F35"/>
      <c r="G35"/>
    </row>
    <row r="36">
      <c r="A36"/>
      <c r="B36"/>
      <c r="C36"/>
      <c r="D36"/>
      <c r="E36"/>
      <c r="F36"/>
      <c r="G36"/>
    </row>
    <row r="37">
      <c r="A37"/>
      <c r="B37"/>
      <c r="C37"/>
      <c r="D37"/>
      <c r="E37"/>
      <c r="F37"/>
      <c r="G37"/>
    </row>
    <row r="38">
      <c r="A38"/>
      <c r="B38"/>
      <c r="C38"/>
      <c r="D38"/>
      <c r="E38"/>
      <c r="F38"/>
      <c r="G38"/>
    </row>
    <row r="39">
      <c r="A39"/>
      <c r="B39"/>
      <c r="C39"/>
      <c r="D39"/>
      <c r="E39"/>
      <c r="F39"/>
      <c r="G39"/>
    </row>
    <row r="40">
      <c r="A40"/>
      <c r="B40"/>
      <c r="C40"/>
      <c r="D40"/>
      <c r="E40"/>
      <c r="F40"/>
      <c r="G40"/>
    </row>
    <row r="41">
      <c r="A41"/>
      <c r="B41"/>
      <c r="C41"/>
      <c r="D41"/>
      <c r="E41"/>
      <c r="F41"/>
      <c r="G41"/>
    </row>
    <row r="42">
      <c r="A42"/>
      <c r="B42"/>
      <c r="C42"/>
      <c r="D42"/>
      <c r="E42"/>
      <c r="F42"/>
      <c r="G42"/>
    </row>
    <row r="43">
      <c r="A43"/>
      <c r="B43"/>
      <c r="C43"/>
      <c r="D43"/>
      <c r="E43"/>
      <c r="F43"/>
      <c r="G43"/>
    </row>
    <row r="44">
      <c r="A44"/>
      <c r="B44"/>
      <c r="C44"/>
      <c r="D44"/>
      <c r="E44"/>
      <c r="F44"/>
      <c r="G44"/>
    </row>
  </sheetData>
</worksheet>
</file>

<file path=xl/worksheets/sheet8.xml><?xml version="1.0" encoding="utf-8"?>
<worksheet xmlns="http://schemas.openxmlformats.org/spreadsheetml/2006/main">
  <sheetPr filterMode="false">
    <pageSetUpPr fitToPage="1"/>
  </sheetPr>
  <dimension ref="A1:F24"/>
  <sheetViews>
    <sheetView tabSelected="0" workbookViewId="0">
      <pane ySplit="3" topLeftCell="A4" activePane="bottomLeft" state="frozen"/>
    </sheetView>
  </sheetViews>
  <sheetFormatPr defaultRowHeight="16.5"/>
  <cols>
    <col min="1" max="1" width="11" customWidth="1"/>
    <col min="2" max="2" width="20" customWidth="1"/>
    <col min="3" max="3" width="36" customWidth="1"/>
    <col min="4" max="4" width="20" customWidth="1"/>
    <col min="5" max="5" width="24" customWidth="1"/>
    <col min="6" max="6" width="32" customWidth="1"/>
  </cols>
  <sheetData>
    <row r="1">
      <c r="A1" t="inlineStr">
        <is>
          <t xml:space="preserve">정책·경쟁 감시 (매월 첫 금요일 B1 30분) - 트리거: 요금 30%↑, AI 정책 변경, 유사 채널 급성장</t>
        </is>
      </c>
    </row>
    <row r="2"/>
    <row r="3">
      <c r="A3" s="1" t="inlineStr">
        <is>
          <t xml:space="preserve">확인일</t>
        </is>
      </c>
      <c r="B3" s="1" t="inlineStr">
        <is>
          <t xml:space="preserve">대상(플랫폼/툴/경쟁)</t>
        </is>
      </c>
      <c r="C3" s="1" t="inlineStr">
        <is>
          <t xml:space="preserve">변경사항</t>
        </is>
      </c>
      <c r="D3" s="1" t="inlineStr">
        <is>
          <t xml:space="preserve">영향</t>
        </is>
      </c>
      <c r="E3" s="1" t="inlineStr">
        <is>
          <t xml:space="preserve">대응</t>
        </is>
      </c>
      <c r="F3" s="1" t="inlineStr">
        <is>
          <t xml:space="preserve">원본 링크</t>
        </is>
      </c>
    </row>
    <row r="4">
      <c r="A4" t="inlineStr">
        <is>
          <t xml:space="preserve">2026-09-04 예시</t>
        </is>
      </c>
      <c r="B4" t="inlineStr">
        <is>
          <t xml:space="preserve">TikTok AI 라벨</t>
        </is>
      </c>
      <c r="C4" t="inlineStr">
        <is>
          <t xml:space="preserve">현행 유지 확인</t>
        </is>
      </c>
      <c r="D4" t="inlineStr">
        <is>
          <t xml:space="preserve">없음</t>
        </is>
      </c>
      <c r="E4" t="inlineStr">
        <is>
          <t xml:space="preserve">없음</t>
        </is>
      </c>
      <c r="F4" t="inlineStr">
        <is>
          <t xml:space="preserve">https://support.tiktok.com/</t>
        </is>
      </c>
    </row>
    <row r="5">
      <c r="A5"/>
      <c r="B5"/>
      <c r="C5"/>
      <c r="D5"/>
      <c r="E5"/>
      <c r="F5"/>
    </row>
    <row r="6">
      <c r="A6"/>
      <c r="B6"/>
      <c r="C6"/>
      <c r="D6"/>
      <c r="E6"/>
      <c r="F6"/>
    </row>
    <row r="7">
      <c r="A7"/>
      <c r="B7"/>
      <c r="C7"/>
      <c r="D7"/>
      <c r="E7"/>
      <c r="F7"/>
    </row>
    <row r="8">
      <c r="A8"/>
      <c r="B8"/>
      <c r="C8"/>
      <c r="D8"/>
      <c r="E8"/>
      <c r="F8"/>
    </row>
    <row r="9">
      <c r="A9"/>
      <c r="B9"/>
      <c r="C9"/>
      <c r="D9"/>
      <c r="E9"/>
      <c r="F9"/>
    </row>
    <row r="10">
      <c r="A10"/>
      <c r="B10"/>
      <c r="C10"/>
      <c r="D10"/>
      <c r="E10"/>
      <c r="F10"/>
    </row>
    <row r="11">
      <c r="A11"/>
      <c r="B11"/>
      <c r="C11"/>
      <c r="D11"/>
      <c r="E11"/>
      <c r="F11"/>
    </row>
    <row r="12">
      <c r="A12"/>
      <c r="B12"/>
      <c r="C12"/>
      <c r="D12"/>
      <c r="E12"/>
      <c r="F12"/>
    </row>
    <row r="13">
      <c r="A13"/>
      <c r="B13"/>
      <c r="C13"/>
      <c r="D13"/>
      <c r="E13"/>
      <c r="F13"/>
    </row>
    <row r="14">
      <c r="A14"/>
      <c r="B14"/>
      <c r="C14"/>
      <c r="D14"/>
      <c r="E14"/>
      <c r="F14"/>
    </row>
    <row r="15">
      <c r="A15"/>
      <c r="B15"/>
      <c r="C15"/>
      <c r="D15"/>
      <c r="E15"/>
      <c r="F15"/>
    </row>
    <row r="16">
      <c r="A16"/>
      <c r="B16"/>
      <c r="C16"/>
      <c r="D16"/>
      <c r="E16"/>
      <c r="F16"/>
    </row>
    <row r="17">
      <c r="A17"/>
      <c r="B17"/>
      <c r="C17"/>
      <c r="D17"/>
      <c r="E17"/>
      <c r="F17"/>
    </row>
    <row r="18">
      <c r="A18"/>
      <c r="B18"/>
      <c r="C18"/>
      <c r="D18"/>
      <c r="E18"/>
      <c r="F18"/>
    </row>
    <row r="19">
      <c r="A19"/>
      <c r="B19"/>
      <c r="C19"/>
      <c r="D19"/>
      <c r="E19"/>
      <c r="F19"/>
    </row>
    <row r="20">
      <c r="A20"/>
      <c r="B20"/>
      <c r="C20"/>
      <c r="D20"/>
      <c r="E20"/>
      <c r="F20"/>
    </row>
    <row r="21">
      <c r="A21"/>
      <c r="B21"/>
      <c r="C21"/>
      <c r="D21"/>
      <c r="E21"/>
      <c r="F21"/>
    </row>
    <row r="22">
      <c r="A22"/>
      <c r="B22"/>
      <c r="C22"/>
      <c r="D22"/>
      <c r="E22"/>
      <c r="F22"/>
    </row>
    <row r="23">
      <c r="A23"/>
      <c r="B23"/>
      <c r="C23"/>
      <c r="D23"/>
      <c r="E23"/>
      <c r="F23"/>
    </row>
    <row r="24">
      <c r="A24"/>
      <c r="B24"/>
      <c r="C24"/>
      <c r="D24"/>
      <c r="E24"/>
      <c r="F24"/>
    </row>
  </sheetData>
</worksheet>
</file>